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3D View" sheetId="1" state="visible" r:id="rId3"/>
    <sheet name="DATA" sheetId="2" state="visible" r:id="rId4"/>
    <sheet name="Sheet1" sheetId="3" state="visible" r:id="rId5"/>
  </sheets>
  <definedNames>
    <definedName function="false" hidden="false" localSheetId="1" name="_xlnm.Print_Area" vbProcedure="false">DATA!$A$1:$W$55</definedName>
    <definedName function="false" hidden="false" name="firstLabel" vbProcedure="false">#REF!</definedName>
    <definedName function="false" hidden="false" name="firstZ" vbProcedure="false">#REF!</definedName>
    <definedName function="false" hidden="false" name="Inputparams" vbProcedure="false">DATA!$R$32:$W$32</definedName>
    <definedName function="false" hidden="false" name="NrPoints" vbProcedure="false">#REF!</definedName>
    <definedName function="false" hidden="false" name="XCOS" vbProcedure="false">'3D View'!$BI$3</definedName>
    <definedName function="false" hidden="false" name="XROTATE" vbProcedure="false">'3D View'!$H$5</definedName>
    <definedName function="false" hidden="false" name="XSIN" vbProcedure="false">'3D View'!$BI$2</definedName>
    <definedName function="false" hidden="false" name="YCOS" vbProcedure="false">'3D View'!$BJ$3</definedName>
    <definedName function="false" hidden="false" name="YROTATE" vbProcedure="false">'3D View'!$H$6</definedName>
    <definedName function="false" hidden="false" name="YSIN" vbProcedure="false">'3D View'!$BJ$2</definedName>
    <definedName function="false" hidden="false" name="ZCOS" vbProcedure="false">'3D View'!$BK$3</definedName>
    <definedName function="false" hidden="false" name="ZOOM" vbProcedure="false">'3D View'!$H$8</definedName>
    <definedName function="false" hidden="false" name="ZROTATE" vbProcedure="false">'3D View'!$H$7</definedName>
    <definedName function="false" hidden="false" name="ZSIN" vbProcedure="false">'3D View'!$BK$2</definedName>
    <definedName function="false" hidden="false" name="_RMX1" vbProcedure="false">'3D View'!$BI$6</definedName>
    <definedName function="false" hidden="false" name="_RMX2" vbProcedure="false">'3D View'!$BI$7</definedName>
    <definedName function="false" hidden="false" name="_RMX3" vbProcedure="false">'3D View'!$BI$8</definedName>
    <definedName function="false" hidden="false" name="_RMY1" vbProcedure="false">'3D View'!$BJ$6</definedName>
    <definedName function="false" hidden="false" name="_RMY2" vbProcedure="false">'3D View'!$BJ$7</definedName>
    <definedName function="false" hidden="false" name="_RMY3" vbProcedure="false">'3D View'!$BJ$8</definedName>
    <definedName function="false" hidden="false" name="_RMZ1" vbProcedure="false">'3D View'!$BK$6</definedName>
    <definedName function="false" hidden="false" name="_RMZ2" vbProcedure="false">'3D View'!$BK$7</definedName>
    <definedName function="false" hidden="false" name="_RMZ3" vbProcedure="false">'3D View'!$BK$8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<sst xmlns="http://schemas.openxmlformats.org/spreadsheetml/2006/main" count="165" uniqueCount="127">
  <si>
    <t xml:space="preserve">Please use this file for personal use only, published on as is basis. I take no responsibility for any injury, damages or losses that occur as a result of using this calculator. Donations welcome :)</t>
  </si>
  <si>
    <t xml:space="preserve">dmwaters1982@gmail.com</t>
  </si>
  <si>
    <t xml:space="preserve">Original</t>
  </si>
  <si>
    <t xml:space="preserve">Xcoord</t>
  </si>
  <si>
    <t xml:space="preserve">Ycoord</t>
  </si>
  <si>
    <t xml:space="preserve">Zcoord</t>
  </si>
  <si>
    <t xml:space="preserve">Dervied</t>
  </si>
  <si>
    <t xml:space="preserve">Calculated Angles</t>
  </si>
  <si>
    <t xml:space="preserve">Graph display settings</t>
  </si>
  <si>
    <t xml:space="preserve">P1</t>
  </si>
  <si>
    <t xml:space="preserve">Sin values</t>
  </si>
  <si>
    <t xml:space="preserve">Angle of rotation for chart</t>
  </si>
  <si>
    <t xml:space="preserve">Axis ERROR</t>
  </si>
  <si>
    <t xml:space="preserve">P2</t>
  </si>
  <si>
    <t xml:space="preserve">Cos values</t>
  </si>
  <si>
    <t xml:space="preserve">P3</t>
  </si>
  <si>
    <t xml:space="preserve">X Angle</t>
  </si>
  <si>
    <t xml:space="preserve">P4</t>
  </si>
  <si>
    <t xml:space="preserve">Rotation Matrix</t>
  </si>
  <si>
    <t xml:space="preserve">Y Angle</t>
  </si>
  <si>
    <t xml:space="preserve">P5</t>
  </si>
  <si>
    <t xml:space="preserve">Z Angle</t>
  </si>
  <si>
    <t xml:space="preserve">P6</t>
  </si>
  <si>
    <t xml:space="preserve">Cage Zoom</t>
  </si>
  <si>
    <t xml:space="preserve">B1</t>
  </si>
  <si>
    <t xml:space="preserve">B2</t>
  </si>
  <si>
    <t xml:space="preserve">B3</t>
  </si>
  <si>
    <t xml:space="preserve">B4</t>
  </si>
  <si>
    <t xml:space="preserve">X</t>
  </si>
  <si>
    <t xml:space="preserve">Y</t>
  </si>
  <si>
    <t xml:space="preserve">Z</t>
  </si>
  <si>
    <t xml:space="preserve">Pitch X</t>
  </si>
  <si>
    <t xml:space="preserve">Roll Y</t>
  </si>
  <si>
    <t xml:space="preserve">Yaw Z</t>
  </si>
  <si>
    <t xml:space="preserve">B5</t>
  </si>
  <si>
    <t xml:space="preserve">B6</t>
  </si>
  <si>
    <t xml:space="preserve">About Z</t>
  </si>
  <si>
    <t xml:space="preserve">about X</t>
  </si>
  <si>
    <t xml:space="preserve">About Y</t>
  </si>
  <si>
    <t xml:space="preserve">ISO</t>
  </si>
  <si>
    <t xml:space="preserve">Eff Leg1</t>
  </si>
  <si>
    <t xml:space="preserve">Eff Leg2</t>
  </si>
  <si>
    <t xml:space="preserve">Eff Leg3</t>
  </si>
  <si>
    <t xml:space="preserve">Eff Leg4</t>
  </si>
  <si>
    <t xml:space="preserve">Eff Leg5</t>
  </si>
  <si>
    <t xml:space="preserve">Eff Leg6</t>
  </si>
  <si>
    <t xml:space="preserve">Bottompivot points</t>
  </si>
  <si>
    <t xml:space="preserve">Servo arm 1</t>
  </si>
  <si>
    <t xml:space="preserve">Servo arm 2</t>
  </si>
  <si>
    <t xml:space="preserve">Servo arm 3</t>
  </si>
  <si>
    <t xml:space="preserve">Servo arm 4</t>
  </si>
  <si>
    <t xml:space="preserve">Servo arm 5</t>
  </si>
  <si>
    <t xml:space="preserve">Servo arm 6</t>
  </si>
  <si>
    <t xml:space="preserve">Conrod 1</t>
  </si>
  <si>
    <t xml:space="preserve">Conrod 2</t>
  </si>
  <si>
    <t xml:space="preserve">Conrod 3</t>
  </si>
  <si>
    <t xml:space="preserve">Conrod 4</t>
  </si>
  <si>
    <t xml:space="preserve">Conrod 5</t>
  </si>
  <si>
    <t xml:space="preserve">Conrod 6</t>
  </si>
  <si>
    <t xml:space="preserve">Platform ring</t>
  </si>
  <si>
    <t xml:space="preserve">Base Ring</t>
  </si>
  <si>
    <t xml:space="preserve">Axes</t>
  </si>
  <si>
    <t xml:space="preserve">Cage</t>
  </si>
  <si>
    <t xml:space="preserve">Platform Coords</t>
  </si>
  <si>
    <t xml:space="preserve">Base rotation (q)</t>
  </si>
  <si>
    <t xml:space="preserve">Bi</t>
  </si>
  <si>
    <t xml:space="preserve">Platform Joint Angle (β) </t>
  </si>
  <si>
    <t xml:space="preserve">Theta_R</t>
  </si>
  <si>
    <t xml:space="preserve">Angle at which the servo arm lies(Degrees)</t>
  </si>
  <si>
    <t xml:space="preserve">Theta_S</t>
  </si>
  <si>
    <t xml:space="preserve">Base Servo Joint Angle (α)</t>
  </si>
  <si>
    <t xml:space="preserve">Theta_P</t>
  </si>
  <si>
    <t xml:space="preserve">Platform Radius</t>
  </si>
  <si>
    <t xml:space="preserve">RD</t>
  </si>
  <si>
    <t xml:space="preserve">Base Radius</t>
  </si>
  <si>
    <t xml:space="preserve">PD</t>
  </si>
  <si>
    <t xml:space="preserve">offset angle</t>
  </si>
  <si>
    <t xml:space="preserve">Angle</t>
  </si>
  <si>
    <t xml:space="preserve">Servo arm length</t>
  </si>
  <si>
    <t xml:space="preserve">L1</t>
  </si>
  <si>
    <t xml:space="preserve">re00</t>
  </si>
  <si>
    <t xml:space="preserve">Connecting arm length</t>
  </si>
  <si>
    <t xml:space="preserve">L2</t>
  </si>
  <si>
    <t xml:space="preserve">re01</t>
  </si>
  <si>
    <t xml:space="preserve">default z height with servo arms horizontal</t>
  </si>
  <si>
    <t xml:space="preserve">Z_Home</t>
  </si>
  <si>
    <t xml:space="preserve">re02</t>
  </si>
  <si>
    <t xml:space="preserve">sway, surge, heave, pitch, roll, yaw</t>
  </si>
  <si>
    <t xml:space="preserve">pe</t>
  </si>
  <si>
    <t xml:space="preserve">re03</t>
  </si>
  <si>
    <t xml:space="preserve">Platform pivots(r)</t>
  </si>
  <si>
    <t xml:space="preserve">re04</t>
  </si>
  <si>
    <t xml:space="preserve">Pi</t>
  </si>
  <si>
    <t xml:space="preserve">re05</t>
  </si>
  <si>
    <t xml:space="preserve">re10</t>
  </si>
  <si>
    <t xml:space="preserve">Parameters in blue may be edited</t>
  </si>
  <si>
    <t xml:space="preserve">re11</t>
  </si>
  <si>
    <t xml:space="preserve">re12</t>
  </si>
  <si>
    <t xml:space="preserve">Adjust sway, surge, heave, pitch, roll, yaw  by means of slide bars below or on page "3D View"</t>
  </si>
  <si>
    <t xml:space="preserve">re13</t>
  </si>
  <si>
    <t xml:space="preserve">re14</t>
  </si>
  <si>
    <t xml:space="preserve">re15</t>
  </si>
  <si>
    <t xml:space="preserve">delta L</t>
  </si>
  <si>
    <t xml:space="preserve">Pi to Bi</t>
  </si>
  <si>
    <t xml:space="preserve">Base Coords</t>
  </si>
  <si>
    <t xml:space="preserve">p00</t>
  </si>
  <si>
    <t xml:space="preserve">dL2</t>
  </si>
  <si>
    <t xml:space="preserve">Virtual Leg lengths</t>
  </si>
  <si>
    <t xml:space="preserve">p01</t>
  </si>
  <si>
    <t xml:space="preserve">Li</t>
  </si>
  <si>
    <t xml:space="preserve">Pitch</t>
  </si>
  <si>
    <t xml:space="preserve">Roll</t>
  </si>
  <si>
    <t xml:space="preserve">p02</t>
  </si>
  <si>
    <t xml:space="preserve">p03</t>
  </si>
  <si>
    <t xml:space="preserve">p04</t>
  </si>
  <si>
    <t xml:space="preserve">p05</t>
  </si>
  <si>
    <t xml:space="preserve">p10</t>
  </si>
  <si>
    <t xml:space="preserve">p11</t>
  </si>
  <si>
    <t xml:space="preserve">p12</t>
  </si>
  <si>
    <t xml:space="preserve">p13</t>
  </si>
  <si>
    <t xml:space="preserve">p14</t>
  </si>
  <si>
    <t xml:space="preserve">p15</t>
  </si>
  <si>
    <t xml:space="preserve">L</t>
  </si>
  <si>
    <t xml:space="preserve">M</t>
  </si>
  <si>
    <t xml:space="preserve">N</t>
  </si>
  <si>
    <t xml:space="preserve">alfa</t>
  </si>
  <si>
    <t xml:space="preserve">Servo angle deg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</si>
</sst>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[$-409]d\-mmm\-yy"/>
    <numFmt numFmtId="166" formatCode="General"/>
    <numFmt numFmtId="167" formatCode="_ * #,##0.00_ ;_ * \-#,##0.00_ ;_ * \-??_ ;_ @_ "/>
    <numFmt numFmtId="168" formatCode="#,##0"/>
  </numFmts>
  <fonts count="14">
    <font>
      <sz val="10"/>
      <color rgb="FF000000"/>
      <name val="MetaPlusLF"/>
      <family val="2"/>
      <charset val="1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Verdana"/>
      <family val="2"/>
      <charset val="1"/>
    </font>
    <font>
      <sz val="10"/>
      <name val="Arial"/>
      <family val="2"/>
      <charset val="1"/>
    </font>
    <font>
      <u val="single"/>
      <sz val="10"/>
      <color rgb="FF0000FF"/>
      <name val="MetaPlusLF"/>
      <family val="0"/>
      <charset val="1"/>
    </font>
    <font>
      <b val="true"/>
      <u val="single"/>
      <sz val="10"/>
      <name val="Arial"/>
      <family val="2"/>
      <charset val="1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u val="single"/>
      <sz val="20"/>
      <color rgb="FF000000"/>
      <name val="MetaPlusLF"/>
      <family val="0"/>
      <charset val="1"/>
    </font>
    <font>
      <b val="true"/>
      <u val="single"/>
      <sz val="16"/>
      <color rgb="FF000000"/>
      <name val="MetaPlusLF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7DEE8"/>
        <bgColor rgb="FFD9D9D9"/>
      </patternFill>
    </fill>
  </fills>
  <borders count="2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medium"/>
      <top style="thin"/>
      <bottom style="thin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5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1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1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1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3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4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5" fillId="0" borderId="1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9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1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1"/>
    <cellStyle name="Normal 3" xfId="22"/>
    <cellStyle name="*unknown*" xfId="20" builtinId="8"/>
  </cellStyles>
  <dxfs count="1">
    <dxf>
      <font>
        <name val="MetaPlusLF"/>
        <charset val="1"/>
        <family val="2"/>
        <color rgb="FF000000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DEE8"/>
      <rgbColor rgb="FF878787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558ED5"/>
      <rgbColor rgb="FF33CCCC"/>
      <rgbColor rgb="FF92D05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99884299433067"/>
          <c:h val="0.999875420455961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28440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</c:spPr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2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3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4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5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6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7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8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9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0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1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Lbls>
            <c:dLbl>
              <c:idx val="0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7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8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9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0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1"/>
              <c:numFmt formatCode="General" sourceLinked="1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-19.6871641141221</c:v>
                </c:pt>
                <c:pt idx="1">
                  <c:v>29.4156211460194</c:v>
                </c:pt>
                <c:pt idx="2">
                  <c:v>90.3945138278456</c:v>
                </c:pt>
                <c:pt idx="3">
                  <c:v>63.6115523838975</c:v>
                </c:pt>
                <c:pt idx="4">
                  <c:v>-70.5397517399531</c:v>
                </c:pt>
                <c:pt idx="5">
                  <c:v>-92.8595755561465</c:v>
                </c:pt>
                <c:pt idx="6">
                  <c:v>-39.5925114822863</c:v>
                </c:pt>
                <c:pt idx="7">
                  <c:v>47.4979702436605</c:v>
                </c:pt>
                <c:pt idx="8">
                  <c:v>87.0904817259465</c:v>
                </c:pt>
                <c:pt idx="9">
                  <c:v>39.5925114822863</c:v>
                </c:pt>
                <c:pt idx="10">
                  <c:v>-47.4979702436605</c:v>
                </c:pt>
                <c:pt idx="11">
                  <c:v>-87.0904817259465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73.7017349158449</c:v>
                </c:pt>
                <c:pt idx="1">
                  <c:v>73.8357261767878</c:v>
                </c:pt>
                <c:pt idx="2">
                  <c:v>110.885394899038</c:v>
                </c:pt>
                <c:pt idx="3">
                  <c:v>124.312523592237</c:v>
                </c:pt>
                <c:pt idx="4">
                  <c:v>123.946452659571</c:v>
                </c:pt>
                <c:pt idx="5">
                  <c:v>110.385332705429</c:v>
                </c:pt>
                <c:pt idx="6">
                  <c:v>-25.2981689264032</c:v>
                </c:pt>
                <c:pt idx="7">
                  <c:v>-23.8122046533976</c:v>
                </c:pt>
                <c:pt idx="8">
                  <c:v>1.48596427300569</c:v>
                </c:pt>
                <c:pt idx="9">
                  <c:v>25.2981689264032</c:v>
                </c:pt>
                <c:pt idx="10">
                  <c:v>23.8122046533976</c:v>
                </c:pt>
                <c:pt idx="11">
                  <c:v>-1.48596427300569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"Axis"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rgbClr val="000000">
                <a:alpha val="15000"/>
              </a:srgbClr>
            </a:solidFill>
            <a:ln w="12600">
              <a:solidFill>
                <a:srgbClr val="000000">
                  <a:alpha val="15000"/>
                </a:srgbClr>
              </a:solidFill>
              <a:round/>
            </a:ln>
          </c:spPr>
          <c:marker>
            <c:symbol val="none"/>
          </c:marker>
          <c:dPt>
            <c:idx val="0"/>
            <c:marker>
              <c:symbol val="none"/>
            </c:marker>
          </c:dPt>
          <c:dPt>
            <c:idx val="1"/>
            <c:marker>
              <c:symbol val="none"/>
            </c:marker>
          </c:dPt>
          <c:dPt>
            <c:idx val="3"/>
            <c:marker>
              <c:symbol val="none"/>
            </c:marker>
          </c:dPt>
          <c:dPt>
            <c:idx val="4"/>
            <c:marker>
              <c:symbol val="none"/>
            </c:marker>
          </c:dPt>
          <c:dPt>
            <c:idx val="6"/>
            <c:marker>
              <c:symbol val="none"/>
            </c:marker>
          </c:dPt>
          <c:dPt>
            <c:idx val="7"/>
            <c:marker>
              <c:symbol val="none"/>
            </c:marker>
          </c:dPt>
          <c:dLbls>
            <c:numFmt formatCode="General" sourceLinked="1"/>
            <c:dLbl>
              <c:idx val="0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X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X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3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YAxis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Y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6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-Z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7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Z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-3.9322938328085</c:v>
                </c:pt>
                <c:pt idx="1">
                  <c:v>3.9322938328085</c:v>
                </c:pt>
                <c:pt idx="2">
                  <c:v>0</c:v>
                </c:pt>
                <c:pt idx="3">
                  <c:v>6.05520150056596</c:v>
                </c:pt>
                <c:pt idx="4">
                  <c:v>-6.05520150056596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1.97138077740547</c:v>
                </c:pt>
                <c:pt idx="1">
                  <c:v>-1.97138077740547</c:v>
                </c:pt>
                <c:pt idx="2">
                  <c:v>0</c:v>
                </c:pt>
                <c:pt idx="3">
                  <c:v>1.28022964593072</c:v>
                </c:pt>
                <c:pt idx="4">
                  <c:v>-1.28022964593072</c:v>
                </c:pt>
                <c:pt idx="5">
                  <c:v>0</c:v>
                </c:pt>
                <c:pt idx="6">
                  <c:v>-6.82664411582707</c:v>
                </c:pt>
                <c:pt idx="7">
                  <c:v>6.82664411582707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"Cage"</c:f>
              <c:strCache>
                <c:ptCount val="1"/>
                <c:pt idx="0">
                  <c:v>Cage</c:v>
                </c:pt>
              </c:strCache>
            </c:strRef>
          </c:tx>
          <c:spPr>
            <a:solidFill>
              <a:srgbClr val="99ccff"/>
            </a:solidFill>
            <a:ln w="3240">
              <a:noFill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View'!$BE$101:$BE$119</c:f>
              <c:numCache>
                <c:formatCode>General</c:formatCode>
                <c:ptCount val="19"/>
                <c:pt idx="0">
                  <c:v>2.12290766775746</c:v>
                </c:pt>
                <c:pt idx="1">
                  <c:v>9.98749533337446</c:v>
                </c:pt>
                <c:pt idx="2">
                  <c:v>-2.12290766775746</c:v>
                </c:pt>
                <c:pt idx="3">
                  <c:v>-9.98749533337446</c:v>
                </c:pt>
                <c:pt idx="4">
                  <c:v>2.12290766775746</c:v>
                </c:pt>
                <c:pt idx="5">
                  <c:v>2.12290766775746</c:v>
                </c:pt>
                <c:pt idx="6">
                  <c:v>9.98749533337446</c:v>
                </c:pt>
                <c:pt idx="7">
                  <c:v>-2.12290766775746</c:v>
                </c:pt>
                <c:pt idx="8">
                  <c:v>-9.98749533337446</c:v>
                </c:pt>
                <c:pt idx="9">
                  <c:v>2.12290766775746</c:v>
                </c:pt>
                <c:pt idx="11">
                  <c:v>-9.98749533337446</c:v>
                </c:pt>
                <c:pt idx="12">
                  <c:v>-9.98749533337446</c:v>
                </c:pt>
                <c:pt idx="14">
                  <c:v>-2.12290766775746</c:v>
                </c:pt>
                <c:pt idx="15">
                  <c:v>-2.12290766775746</c:v>
                </c:pt>
                <c:pt idx="17">
                  <c:v>9.98749533337446</c:v>
                </c:pt>
                <c:pt idx="18">
                  <c:v>9.98749533337446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-3.57503369249088</c:v>
                </c:pt>
                <c:pt idx="1">
                  <c:v>-7.51779524730181</c:v>
                </c:pt>
                <c:pt idx="2">
                  <c:v>-10.0782545391633</c:v>
                </c:pt>
                <c:pt idx="3">
                  <c:v>-6.13549298435232</c:v>
                </c:pt>
                <c:pt idx="4">
                  <c:v>-3.57503369249088</c:v>
                </c:pt>
                <c:pt idx="5">
                  <c:v>10.0782545391633</c:v>
                </c:pt>
                <c:pt idx="6">
                  <c:v>6.13549298435232</c:v>
                </c:pt>
                <c:pt idx="7">
                  <c:v>3.57503369249088</c:v>
                </c:pt>
                <c:pt idx="8">
                  <c:v>7.51779524730181</c:v>
                </c:pt>
                <c:pt idx="9">
                  <c:v>10.0782545391633</c:v>
                </c:pt>
                <c:pt idx="11">
                  <c:v>7.51779524730181</c:v>
                </c:pt>
                <c:pt idx="12">
                  <c:v>-6.13549298435232</c:v>
                </c:pt>
                <c:pt idx="14">
                  <c:v>-10.0782545391633</c:v>
                </c:pt>
                <c:pt idx="15">
                  <c:v>3.57503369249088</c:v>
                </c:pt>
                <c:pt idx="17">
                  <c:v>6.13549298435232</c:v>
                </c:pt>
                <c:pt idx="18">
                  <c:v>-7.51779524730181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"line1"</c:f>
              <c:strCache>
                <c:ptCount val="1"/>
                <c:pt idx="0">
                  <c:v>line1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View'!$BE$16:$BE$17</c:f>
              <c:numCache>
                <c:formatCode>General</c:formatCode>
                <c:ptCount val="2"/>
                <c:pt idx="0">
                  <c:v>-19.6871641141221</c:v>
                </c:pt>
                <c:pt idx="1">
                  <c:v>-39.5925114822863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73.7017349158449</c:v>
                </c:pt>
                <c:pt idx="1">
                  <c:v>-25.2981689264032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"line2"</c:f>
              <c:strCache>
                <c:ptCount val="1"/>
                <c:pt idx="0">
                  <c:v>line2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View'!$BE$18:$BE$19</c:f>
              <c:numCache>
                <c:formatCode>General</c:formatCode>
                <c:ptCount val="2"/>
                <c:pt idx="0">
                  <c:v>29.4156211460194</c:v>
                </c:pt>
                <c:pt idx="1">
                  <c:v>47.4979702436605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73.8357261767878</c:v>
                </c:pt>
                <c:pt idx="1">
                  <c:v>-23.8122046533976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"line3"</c:f>
              <c:strCache>
                <c:ptCount val="1"/>
                <c:pt idx="0">
                  <c:v>line3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View'!$BE$20:$BE$21</c:f>
              <c:numCache>
                <c:formatCode>General</c:formatCode>
                <c:ptCount val="2"/>
                <c:pt idx="0">
                  <c:v>90.3945138278456</c:v>
                </c:pt>
                <c:pt idx="1">
                  <c:v>87.0904817259465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110.885394899038</c:v>
                </c:pt>
                <c:pt idx="1">
                  <c:v>1.48596427300569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"line4"</c:f>
              <c:strCache>
                <c:ptCount val="1"/>
                <c:pt idx="0">
                  <c:v>line4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View'!$BE$22:$BE$23</c:f>
              <c:numCache>
                <c:formatCode>General</c:formatCode>
                <c:ptCount val="2"/>
                <c:pt idx="0">
                  <c:v>63.6115523838975</c:v>
                </c:pt>
                <c:pt idx="1">
                  <c:v>39.5925114822863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124.312523592237</c:v>
                </c:pt>
                <c:pt idx="1">
                  <c:v>25.2981689264032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"line5"</c:f>
              <c:strCache>
                <c:ptCount val="1"/>
                <c:pt idx="0">
                  <c:v>line5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View'!$BE$24:$BE$25</c:f>
              <c:numCache>
                <c:formatCode>General</c:formatCode>
                <c:ptCount val="2"/>
                <c:pt idx="0">
                  <c:v>-70.5397517399531</c:v>
                </c:pt>
                <c:pt idx="1">
                  <c:v>-47.4979702436605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123.946452659571</c:v>
                </c:pt>
                <c:pt idx="1">
                  <c:v>23.8122046533976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"line6"</c:f>
              <c:strCache>
                <c:ptCount val="1"/>
                <c:pt idx="0">
                  <c:v>line6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View'!$BE$26:$BE$27</c:f>
              <c:numCache>
                <c:formatCode>General</c:formatCode>
                <c:ptCount val="2"/>
                <c:pt idx="0">
                  <c:v>-92.8595755561465</c:v>
                </c:pt>
                <c:pt idx="1">
                  <c:v>-87.0904817259465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110.385332705429</c:v>
                </c:pt>
                <c:pt idx="1">
                  <c:v>-1.48596427300569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"servoarm1"</c:f>
              <c:strCache>
                <c:ptCount val="1"/>
                <c:pt idx="0">
                  <c:v>servoarm1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View'!$BE$40:$BE$41</c:f>
              <c:numCache>
                <c:formatCode>General</c:formatCode>
                <c:ptCount val="2"/>
                <c:pt idx="0">
                  <c:v>-39.5925114822863</c:v>
                </c:pt>
                <c:pt idx="1">
                  <c:v>-70.0436316068251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-25.2981689264032</c:v>
                </c:pt>
                <c:pt idx="1">
                  <c:v>-19.0378441160403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"servoarm2"</c:f>
              <c:strCache>
                <c:ptCount val="1"/>
                <c:pt idx="0">
                  <c:v>servoarm2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View'!$BE$42:$BE$43</c:f>
              <c:numCache>
                <c:formatCode>General</c:formatCode>
                <c:ptCount val="2"/>
                <c:pt idx="0">
                  <c:v>47.4979702436605</c:v>
                </c:pt>
                <c:pt idx="1">
                  <c:v>76.1776817614465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-23.8122046533976</c:v>
                </c:pt>
                <c:pt idx="1">
                  <c:v>-17.2949660796026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"servoarm3"</c:f>
              <c:strCache>
                <c:ptCount val="1"/>
                <c:pt idx="0">
                  <c:v>servoarm3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View'!$BE$44:$BE$45</c:f>
              <c:numCache>
                <c:formatCode>General</c:formatCode>
                <c:ptCount val="2"/>
                <c:pt idx="0">
                  <c:v>87.0904817259465</c:v>
                </c:pt>
                <c:pt idx="1">
                  <c:v>88.8790567267709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1.48596427300569</c:v>
                </c:pt>
                <c:pt idx="1">
                  <c:v>-10.8642133441012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"servoarm4"</c:f>
              <c:strCache>
                <c:ptCount val="1"/>
                <c:pt idx="0">
                  <c:v>servoarm4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View'!$BE$46:$BE$47</c:f>
              <c:numCache>
                <c:formatCode>General</c:formatCode>
                <c:ptCount val="2"/>
                <c:pt idx="0">
                  <c:v>39.5925114822863</c:v>
                </c:pt>
                <c:pt idx="1">
                  <c:v>9.14881743916002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25.2981689264032</c:v>
                </c:pt>
                <c:pt idx="1">
                  <c:v>28.9444936716935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"servoarm5"</c:f>
              <c:strCache>
                <c:ptCount val="1"/>
                <c:pt idx="0">
                  <c:v>servoarm5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View'!$BE$48:$BE$49</c:f>
              <c:numCache>
                <c:formatCode>General</c:formatCode>
                <c:ptCount val="2"/>
                <c:pt idx="0">
                  <c:v>-47.4979702436605</c:v>
                </c:pt>
                <c:pt idx="1">
                  <c:v>-18.8184477565369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23.8122046533976</c:v>
                </c:pt>
                <c:pt idx="1">
                  <c:v>30.3443485209549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"servoarm6"</c:f>
              <c:strCache>
                <c:ptCount val="1"/>
                <c:pt idx="0">
                  <c:v>servoarm6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View'!$BE$50:$BE$51</c:f>
              <c:numCache>
                <c:formatCode>General</c:formatCode>
                <c:ptCount val="2"/>
                <c:pt idx="0">
                  <c:v>-87.0904817259465</c:v>
                </c:pt>
                <c:pt idx="1">
                  <c:v>-85.3022256652305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-1.48596427300569</c:v>
                </c:pt>
                <c:pt idx="1">
                  <c:v>-11.2137208114931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View'!$BE$54:$BE$55</c:f>
              <c:numCache>
                <c:formatCode>General</c:formatCode>
                <c:ptCount val="2"/>
                <c:pt idx="0">
                  <c:v>-19.6871641141221</c:v>
                </c:pt>
                <c:pt idx="1">
                  <c:v>-70.0436316068251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73.7017349158449</c:v>
                </c:pt>
                <c:pt idx="1">
                  <c:v>-19.0378441160403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View'!$BE$56:$BE$57</c:f>
              <c:numCache>
                <c:formatCode>General</c:formatCode>
                <c:ptCount val="2"/>
                <c:pt idx="0">
                  <c:v>29.4156211460194</c:v>
                </c:pt>
                <c:pt idx="1">
                  <c:v>76.1776817614465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73.8357261767878</c:v>
                </c:pt>
                <c:pt idx="1">
                  <c:v>-17.2949660796026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View'!$BE$58:$BE$59</c:f>
              <c:numCache>
                <c:formatCode>General</c:formatCode>
                <c:ptCount val="2"/>
                <c:pt idx="0">
                  <c:v>90.3945138278456</c:v>
                </c:pt>
                <c:pt idx="1">
                  <c:v>88.8790567267709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110.885394899038</c:v>
                </c:pt>
                <c:pt idx="1">
                  <c:v>-10.8642133441012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View'!$BE$60:$BE$61</c:f>
              <c:numCache>
                <c:formatCode>General</c:formatCode>
                <c:ptCount val="2"/>
                <c:pt idx="0">
                  <c:v>63.6115523838975</c:v>
                </c:pt>
                <c:pt idx="1">
                  <c:v>9.14881743916002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124.312523592237</c:v>
                </c:pt>
                <c:pt idx="1">
                  <c:v>28.9444936716935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View'!$BE$62:$BE$63</c:f>
              <c:numCache>
                <c:formatCode>General</c:formatCode>
                <c:ptCount val="2"/>
                <c:pt idx="0">
                  <c:v>-70.5397517399531</c:v>
                </c:pt>
                <c:pt idx="1">
                  <c:v>-18.8184477565369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123.946452659571</c:v>
                </c:pt>
                <c:pt idx="1">
                  <c:v>30.3443485209549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View'!$BE$64:$BE$65</c:f>
              <c:numCache>
                <c:formatCode>General</c:formatCode>
                <c:ptCount val="2"/>
                <c:pt idx="0">
                  <c:v>-92.8595755561465</c:v>
                </c:pt>
                <c:pt idx="1">
                  <c:v>-85.3022256652305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110.385332705429</c:v>
                </c:pt>
                <c:pt idx="1">
                  <c:v>-11.2137208114931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square"/>
            <c:size val="5"/>
            <c:spPr>
              <a:solidFill>
                <a:srgbClr val="000000"/>
              </a:solidFill>
            </c:spPr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View'!$BE$69:$BE$75</c:f>
              <c:numCache>
                <c:formatCode>General</c:formatCode>
                <c:ptCount val="7"/>
                <c:pt idx="0">
                  <c:v>-19.6871641141221</c:v>
                </c:pt>
                <c:pt idx="1">
                  <c:v>29.4156211460194</c:v>
                </c:pt>
                <c:pt idx="2">
                  <c:v>90.3945138278456</c:v>
                </c:pt>
                <c:pt idx="3">
                  <c:v>63.6115523838975</c:v>
                </c:pt>
                <c:pt idx="4">
                  <c:v>-70.5397517399531</c:v>
                </c:pt>
                <c:pt idx="5">
                  <c:v>-92.8595755561465</c:v>
                </c:pt>
                <c:pt idx="6">
                  <c:v>-19.6871641141221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73.7017349158449</c:v>
                </c:pt>
                <c:pt idx="1">
                  <c:v>73.8357261767878</c:v>
                </c:pt>
                <c:pt idx="2">
                  <c:v>110.885394899038</c:v>
                </c:pt>
                <c:pt idx="3">
                  <c:v>124.312523592237</c:v>
                </c:pt>
                <c:pt idx="4">
                  <c:v>123.946452659571</c:v>
                </c:pt>
                <c:pt idx="5">
                  <c:v>110.385332705429</c:v>
                </c:pt>
                <c:pt idx="6">
                  <c:v>73.7017349158449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square"/>
            <c:size val="5"/>
            <c:spPr>
              <a:solidFill>
                <a:srgbClr val="000000"/>
              </a:solidFill>
            </c:spPr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View'!$BE$77:$BE$83</c:f>
              <c:numCache>
                <c:formatCode>General</c:formatCode>
                <c:ptCount val="7"/>
                <c:pt idx="0">
                  <c:v>-39.5925114822863</c:v>
                </c:pt>
                <c:pt idx="1">
                  <c:v>47.4979702436605</c:v>
                </c:pt>
                <c:pt idx="2">
                  <c:v>87.0904817259465</c:v>
                </c:pt>
                <c:pt idx="3">
                  <c:v>39.5925114822863</c:v>
                </c:pt>
                <c:pt idx="4">
                  <c:v>-47.4979702436605</c:v>
                </c:pt>
                <c:pt idx="5">
                  <c:v>-87.0904817259465</c:v>
                </c:pt>
                <c:pt idx="6">
                  <c:v>-39.5925114822863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-25.2981689264032</c:v>
                </c:pt>
                <c:pt idx="1">
                  <c:v>-23.8122046533976</c:v>
                </c:pt>
                <c:pt idx="2">
                  <c:v>1.48596427300569</c:v>
                </c:pt>
                <c:pt idx="3">
                  <c:v>25.2981689264032</c:v>
                </c:pt>
                <c:pt idx="4">
                  <c:v>23.8122046533976</c:v>
                </c:pt>
                <c:pt idx="5">
                  <c:v>-1.48596427300569</c:v>
                </c:pt>
                <c:pt idx="6">
                  <c:v>-25.2981689264032</c:v>
                </c:pt>
              </c:numCache>
            </c:numRef>
          </c:yVal>
          <c:smooth val="1"/>
        </c:ser>
        <c:axId val="57851372"/>
        <c:axId val="63140946"/>
      </c:scatterChart>
      <c:valAx>
        <c:axId val="57851372"/>
        <c:scaling>
          <c:orientation val="minMax"/>
          <c:max val="170"/>
          <c:min val="-170"/>
        </c:scaling>
        <c:delete val="0"/>
        <c:axPos val="b"/>
        <c:numFmt formatCode="General" sourceLinked="0"/>
        <c:majorTickMark val="out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63140946"/>
        <c:crosses val="autoZero"/>
        <c:crossBetween val="midCat"/>
      </c:valAx>
      <c:valAx>
        <c:axId val="63140946"/>
        <c:scaling>
          <c:orientation val="minMax"/>
          <c:max val="170"/>
          <c:min val="-170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7851372"/>
        <c:crosses val="autoZero"/>
        <c:crossBetween val="midCat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Servo angle deg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034419001564"/>
          <c:y val="0.345381526104418"/>
          <c:w val="0.325558242070829"/>
          <c:h val="0.609437751004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val>
            <c:numRef>
              <c:f>DATA!$O$50:$O$55</c:f>
              <c:numCache>
                <c:formatCode>General</c:formatCode>
                <c:ptCount val="6"/>
                <c:pt idx="0">
                  <c:v>2.14254449883109</c:v>
                </c:pt>
                <c:pt idx="1">
                  <c:v>0.803718017315515</c:v>
                </c:pt>
                <c:pt idx="2">
                  <c:v>-2.19616444793128</c:v>
                </c:pt>
                <c:pt idx="3">
                  <c:v>-2.48816485946237</c:v>
                </c:pt>
                <c:pt idx="4">
                  <c:v>0.830201438313542</c:v>
                </c:pt>
                <c:pt idx="5">
                  <c:v>2.44813906142629</c:v>
                </c:pt>
              </c:numCache>
            </c:numRef>
          </c:val>
        </c:ser>
        <c:gapWidth val="150"/>
        <c:overlap val="0"/>
        <c:axId val="74759573"/>
        <c:axId val="66284939"/>
      </c:barChart>
      <c:catAx>
        <c:axId val="74759573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284939"/>
        <c:crosses val="autoZero"/>
        <c:auto val="1"/>
        <c:lblAlgn val="ctr"/>
        <c:lblOffset val="100"/>
        <c:noMultiLvlLbl val="0"/>
      </c:catAx>
      <c:valAx>
        <c:axId val="66284939"/>
        <c:scaling>
          <c:orientation val="minMax"/>
          <c:max val="65"/>
          <c:min val="-5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_ * #,##0.00_ ;_ * \-#,##0.00_ ;_ * \-??_ ;_ @_ 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4759573"/>
        <c:crosses val="autoZero"/>
        <c:crossBetween val="between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617008495666352"/>
          <c:y val="0.0675384870054627"/>
          <c:w val="0.874710375010727"/>
          <c:h val="0.906720741599073"/>
        </c:manualLayout>
      </c:layout>
      <c:scatterChart>
        <c:scatterStyle val="lineMarker"/>
        <c:varyColors val="0"/>
        <c:ser>
          <c:idx val="0"/>
          <c:order val="0"/>
          <c:tx>
            <c:strRef>
              <c:f>"Servo Axis"</c:f>
              <c:strCache>
                <c:ptCount val="1"/>
                <c:pt idx="0">
                  <c:v>Servo Axis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marker>
            <c:symbol val="square"/>
            <c:size val="5"/>
            <c:spPr>
              <a:solidFill>
                <a:srgbClr val="99ccff"/>
              </a:solidFill>
            </c:spPr>
          </c:marker>
          <c:dPt>
            <c:idx val="0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Pt>
            <c:idx val="1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Pt>
            <c:idx val="2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Pt>
            <c:idx val="3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Pt>
            <c:idx val="4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Pt>
            <c:idx val="5"/>
            <c:marker>
              <c:symbol val="square"/>
              <c:size val="5"/>
              <c:spPr>
                <a:solidFill>
                  <a:srgbClr val="99ccff"/>
                </a:solidFill>
              </c:spPr>
            </c:marker>
          </c:dPt>
          <c:dLbls>
            <c:numFmt formatCode="General" sourceLinked="1"/>
            <c:dLbl>
              <c:idx val="0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2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3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5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DATA!$G$30:$G$35</c:f>
              <c:numCache>
                <c:formatCode>General</c:formatCode>
                <c:ptCount val="6"/>
                <c:pt idx="0">
                  <c:v>229.499999999999</c:v>
                </c:pt>
                <c:pt idx="1">
                  <c:v>459</c:v>
                </c:pt>
                <c:pt idx="2">
                  <c:v>229.499999999999</c:v>
                </c:pt>
                <c:pt idx="3">
                  <c:v>-229.499999999999</c:v>
                </c:pt>
                <c:pt idx="4">
                  <c:v>-459</c:v>
                </c:pt>
                <c:pt idx="5">
                  <c:v>-229.499999999999</c:v>
                </c:pt>
              </c:numCache>
            </c:numRef>
          </c:xVal>
          <c:yVal>
            <c:numRef>
              <c:f>DATA!$G$36:$G$41</c:f>
              <c:numCache>
                <c:formatCode>General</c:formatCode>
                <c:ptCount val="6"/>
                <c:pt idx="0">
                  <c:v>397.505660337058</c:v>
                </c:pt>
                <c:pt idx="1">
                  <c:v>0</c:v>
                </c:pt>
                <c:pt idx="2">
                  <c:v>-397.505660337058</c:v>
                </c:pt>
                <c:pt idx="3">
                  <c:v>-397.505660337058</c:v>
                </c:pt>
                <c:pt idx="4">
                  <c:v>0</c:v>
                </c:pt>
                <c:pt idx="5">
                  <c:v>397.505660337058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"Platform Joints"</c:f>
              <c:strCache>
                <c:ptCount val="1"/>
                <c:pt idx="0">
                  <c:v>Platform Joints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marker>
            <c:symbol val="square"/>
            <c:size val="5"/>
            <c:spPr>
              <a:solidFill>
                <a:srgbClr val="99cc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DATA!$G$8:$G$13</c:f>
              <c:numCache>
                <c:formatCode>General</c:formatCode>
                <c:ptCount val="6"/>
                <c:pt idx="0">
                  <c:v>353.553390593274</c:v>
                </c:pt>
                <c:pt idx="1">
                  <c:v>482.962913144534</c:v>
                </c:pt>
                <c:pt idx="2">
                  <c:v>129.40952255126</c:v>
                </c:pt>
                <c:pt idx="3">
                  <c:v>-129.40952255126</c:v>
                </c:pt>
                <c:pt idx="4">
                  <c:v>-482.962913144534</c:v>
                </c:pt>
                <c:pt idx="5">
                  <c:v>-353.553390593274</c:v>
                </c:pt>
              </c:numCache>
            </c:numRef>
          </c:xVal>
          <c:yVal>
            <c:numRef>
              <c:f>DATA!$G$14:$G$19</c:f>
              <c:numCache>
                <c:formatCode>General</c:formatCode>
                <c:ptCount val="6"/>
                <c:pt idx="0">
                  <c:v>353.553390593274</c:v>
                </c:pt>
                <c:pt idx="1">
                  <c:v>129.40952255126</c:v>
                </c:pt>
                <c:pt idx="2">
                  <c:v>-482.962913144534</c:v>
                </c:pt>
                <c:pt idx="3">
                  <c:v>-482.962913144534</c:v>
                </c:pt>
                <c:pt idx="4">
                  <c:v>129.40952255126</c:v>
                </c:pt>
                <c:pt idx="5">
                  <c:v>353.553390593274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"Servo Arm Pivots"</c:f>
              <c:strCache>
                <c:ptCount val="1"/>
                <c:pt idx="0">
                  <c:v>Servo Arm Pivots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marker>
            <c:symbol val="square"/>
            <c:size val="5"/>
            <c:spPr>
              <a:solidFill>
                <a:srgbClr val="99ccff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DATA!$K$39:$K$44</c:f>
              <c:numCache>
                <c:formatCode>General</c:formatCode>
                <c:ptCount val="6"/>
                <c:pt idx="0">
                  <c:v>73.7244048510227</c:v>
                </c:pt>
                <c:pt idx="1">
                  <c:v>459</c:v>
                </c:pt>
                <c:pt idx="2">
                  <c:v>385.270072963291</c:v>
                </c:pt>
                <c:pt idx="3">
                  <c:v>-385.237606324691</c:v>
                </c:pt>
                <c:pt idx="4">
                  <c:v>-459</c:v>
                </c:pt>
                <c:pt idx="5">
                  <c:v>-73.7577040792884</c:v>
                </c:pt>
              </c:numCache>
            </c:numRef>
          </c:xVal>
          <c:yVal>
            <c:numRef>
              <c:f>DATA!$L$39:$L$44</c:f>
              <c:numCache>
                <c:formatCode>General</c:formatCode>
                <c:ptCount val="6"/>
                <c:pt idx="0">
                  <c:v>487.442742129494</c:v>
                </c:pt>
                <c:pt idx="1">
                  <c:v>-179.982290857539</c:v>
                </c:pt>
                <c:pt idx="2">
                  <c:v>-307.571766780013</c:v>
                </c:pt>
                <c:pt idx="3">
                  <c:v>-307.590511402549</c:v>
                </c:pt>
                <c:pt idx="4">
                  <c:v>-179.981104577417</c:v>
                </c:pt>
                <c:pt idx="5">
                  <c:v>487.423516811091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"New Pivot Points"</c:f>
              <c:strCache>
                <c:ptCount val="1"/>
                <c:pt idx="0">
                  <c:v>New Pivot Points</c:v>
                </c:pt>
              </c:strCache>
            </c:strRef>
          </c:tx>
          <c:spPr>
            <a:solidFill>
              <a:srgbClr val="4f81bd"/>
            </a:solidFill>
            <a:ln w="28440">
              <a:solidFill>
                <a:srgbClr val="4f81bd"/>
              </a:solidFill>
              <a:round/>
            </a:ln>
          </c:spPr>
          <c:marker>
            <c:symbol val="square"/>
            <c:size val="5"/>
            <c:spPr>
              <a:solidFill>
                <a:srgbClr val="4f81bd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DATA!$K$12:$K$18</c:f>
              <c:numCache>
                <c:formatCode>General</c:formatCode>
                <c:ptCount val="7"/>
                <c:pt idx="0">
                  <c:v>352.553390593274</c:v>
                </c:pt>
                <c:pt idx="1">
                  <c:v>481.962913144534</c:v>
                </c:pt>
                <c:pt idx="2">
                  <c:v>128.40952255126</c:v>
                </c:pt>
                <c:pt idx="3">
                  <c:v>-130.40952255126</c:v>
                </c:pt>
                <c:pt idx="4">
                  <c:v>-483.962913144534</c:v>
                </c:pt>
                <c:pt idx="5">
                  <c:v>-354.553390593274</c:v>
                </c:pt>
                <c:pt idx="6">
                  <c:v>352.553390593274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352.499542699412</c:v>
                </c:pt>
                <c:pt idx="1">
                  <c:v>128.389812854167</c:v>
                </c:pt>
                <c:pt idx="2">
                  <c:v>-483.889355553579</c:v>
                </c:pt>
                <c:pt idx="3">
                  <c:v>-483.889355553579</c:v>
                </c:pt>
                <c:pt idx="4">
                  <c:v>128.389812854167</c:v>
                </c:pt>
                <c:pt idx="5">
                  <c:v>352.499542699412</c:v>
                </c:pt>
                <c:pt idx="6">
                  <c:v>352.499542699412</c:v>
                </c:pt>
              </c:numCache>
            </c:numRef>
          </c:yVal>
          <c:smooth val="0"/>
        </c:ser>
        <c:axId val="99918080"/>
        <c:axId val="18480014"/>
      </c:scatterChart>
      <c:valAx>
        <c:axId val="99918080"/>
        <c:scaling>
          <c:orientation val="minMax"/>
          <c:max val="900"/>
          <c:min val="-9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480014"/>
        <c:crossesAt val="0"/>
        <c:crossBetween val="midCat"/>
      </c:valAx>
      <c:valAx>
        <c:axId val="18480014"/>
        <c:scaling>
          <c:orientation val="minMax"/>
          <c:max val="900"/>
          <c:min val="-900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9918080"/>
        <c:crossesAt val="0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9983653453208"/>
          <c:h val="0.999815532189633"/>
        </c:manualLayout>
      </c:layout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28440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</c:spPr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2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3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4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5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6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7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8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9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0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Pt>
            <c:idx val="11"/>
            <c:marker>
              <c:symbol val="circle"/>
              <c:size val="8"/>
              <c:spPr>
                <a:solidFill>
                  <a:srgbClr val="000080"/>
                </a:solidFill>
              </c:spPr>
            </c:marker>
          </c:dPt>
          <c:dLbls>
            <c:dLbl>
              <c:idx val="0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7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8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9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0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1"/>
              <c:numFmt formatCode="General" sourceLinked="1"/>
              <c:txPr>
                <a:bodyPr/>
                <a:lstStyle/>
                <a:p>
                  <a:pPr>
                    <a:defRPr b="0" sz="8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-19.6871641141221</c:v>
                </c:pt>
                <c:pt idx="1">
                  <c:v>29.4156211460194</c:v>
                </c:pt>
                <c:pt idx="2">
                  <c:v>90.3945138278456</c:v>
                </c:pt>
                <c:pt idx="3">
                  <c:v>63.6115523838975</c:v>
                </c:pt>
                <c:pt idx="4">
                  <c:v>-70.5397517399531</c:v>
                </c:pt>
                <c:pt idx="5">
                  <c:v>-92.8595755561465</c:v>
                </c:pt>
                <c:pt idx="6">
                  <c:v>-39.5925114822863</c:v>
                </c:pt>
                <c:pt idx="7">
                  <c:v>47.4979702436605</c:v>
                </c:pt>
                <c:pt idx="8">
                  <c:v>87.0904817259465</c:v>
                </c:pt>
                <c:pt idx="9">
                  <c:v>39.5925114822863</c:v>
                </c:pt>
                <c:pt idx="10">
                  <c:v>-47.4979702436605</c:v>
                </c:pt>
                <c:pt idx="11">
                  <c:v>-87.0904817259465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73.7017349158449</c:v>
                </c:pt>
                <c:pt idx="1">
                  <c:v>73.8357261767878</c:v>
                </c:pt>
                <c:pt idx="2">
                  <c:v>110.885394899038</c:v>
                </c:pt>
                <c:pt idx="3">
                  <c:v>124.312523592237</c:v>
                </c:pt>
                <c:pt idx="4">
                  <c:v>123.946452659571</c:v>
                </c:pt>
                <c:pt idx="5">
                  <c:v>110.385332705429</c:v>
                </c:pt>
                <c:pt idx="6">
                  <c:v>-25.2981689264032</c:v>
                </c:pt>
                <c:pt idx="7">
                  <c:v>-23.8122046533976</c:v>
                </c:pt>
                <c:pt idx="8">
                  <c:v>1.48596427300569</c:v>
                </c:pt>
                <c:pt idx="9">
                  <c:v>25.2981689264032</c:v>
                </c:pt>
                <c:pt idx="10">
                  <c:v>23.8122046533976</c:v>
                </c:pt>
                <c:pt idx="11">
                  <c:v>-1.48596427300569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"Axis"</c:f>
              <c:strCache>
                <c:ptCount val="1"/>
                <c:pt idx="0">
                  <c:v>Axis</c:v>
                </c:pt>
              </c:strCache>
            </c:strRef>
          </c:tx>
          <c:spPr>
            <a:solidFill>
              <a:srgbClr val="000000"/>
            </a:solidFill>
            <a:ln w="12600">
              <a:solidFill>
                <a:srgbClr val="000000"/>
              </a:solidFill>
              <a:round/>
            </a:ln>
          </c:spPr>
          <c:marker>
            <c:symbol val="none"/>
          </c:marker>
          <c:dPt>
            <c:idx val="0"/>
            <c:marker>
              <c:symbol val="none"/>
            </c:marker>
          </c:dPt>
          <c:dPt>
            <c:idx val="1"/>
            <c:marker>
              <c:symbol val="none"/>
            </c:marker>
          </c:dPt>
          <c:dPt>
            <c:idx val="3"/>
            <c:marker>
              <c:symbol val="none"/>
            </c:marker>
          </c:dPt>
          <c:dPt>
            <c:idx val="4"/>
            <c:marker>
              <c:symbol val="none"/>
            </c:marker>
          </c:dPt>
          <c:dPt>
            <c:idx val="6"/>
            <c:marker>
              <c:symbol val="none"/>
            </c:marker>
          </c:dPt>
          <c:dPt>
            <c:idx val="7"/>
            <c:marker>
              <c:symbol val="none"/>
            </c:marker>
          </c:dPt>
          <c:dLbls>
            <c:numFmt formatCode="General" sourceLinked="1"/>
            <c:dLbl>
              <c:idx val="0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X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1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X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3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YAxis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4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Y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6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-Z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dLbl>
              <c:idx val="7"/>
              <c:numFmt formatCode="General" sourceLinked="1"/>
              <c:txPr>
                <a:bodyPr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Arial"/>
                      <a:ea typeface="Arial"/>
                    </a:defRPr>
                  </a:pPr>
                </a:p>
              </c:txPr>
              <c:tx>
                <c:rich>
                  <a:bodyPr/>
                  <a:p>
                    <a:r>
                      <a:rPr b="0" lang="en-US" sz="1300" spc="-1" strike="noStrike">
                        <a:latin typeface="Arial"/>
                      </a:rPr>
                      <a:t>Z Axis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eparator>; </c:separator>
            </c:dLbl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-3.9322938328085</c:v>
                </c:pt>
                <c:pt idx="1">
                  <c:v>3.9322938328085</c:v>
                </c:pt>
                <c:pt idx="2">
                  <c:v>0</c:v>
                </c:pt>
                <c:pt idx="3">
                  <c:v>6.05520150056596</c:v>
                </c:pt>
                <c:pt idx="4">
                  <c:v>-6.05520150056596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1.97138077740547</c:v>
                </c:pt>
                <c:pt idx="1">
                  <c:v>-1.97138077740547</c:v>
                </c:pt>
                <c:pt idx="2">
                  <c:v>0</c:v>
                </c:pt>
                <c:pt idx="3">
                  <c:v>1.28022964593072</c:v>
                </c:pt>
                <c:pt idx="4">
                  <c:v>-1.28022964593072</c:v>
                </c:pt>
                <c:pt idx="5">
                  <c:v>0</c:v>
                </c:pt>
                <c:pt idx="6">
                  <c:v>-6.82664411582707</c:v>
                </c:pt>
                <c:pt idx="7">
                  <c:v>6.82664411582707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"Cage"</c:f>
              <c:strCache>
                <c:ptCount val="1"/>
                <c:pt idx="0">
                  <c:v>Cage</c:v>
                </c:pt>
              </c:strCache>
            </c:strRef>
          </c:tx>
          <c:spPr>
            <a:solidFill>
              <a:srgbClr val="969696"/>
            </a:solidFill>
            <a:ln w="3240">
              <a:solidFill>
                <a:srgbClr val="969696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View'!$BE$101:$BE$119</c:f>
              <c:numCache>
                <c:formatCode>General</c:formatCode>
                <c:ptCount val="19"/>
                <c:pt idx="0">
                  <c:v>2.12290766775746</c:v>
                </c:pt>
                <c:pt idx="1">
                  <c:v>9.98749533337446</c:v>
                </c:pt>
                <c:pt idx="2">
                  <c:v>-2.12290766775746</c:v>
                </c:pt>
                <c:pt idx="3">
                  <c:v>-9.98749533337446</c:v>
                </c:pt>
                <c:pt idx="4">
                  <c:v>2.12290766775746</c:v>
                </c:pt>
                <c:pt idx="5">
                  <c:v>2.12290766775746</c:v>
                </c:pt>
                <c:pt idx="6">
                  <c:v>9.98749533337446</c:v>
                </c:pt>
                <c:pt idx="7">
                  <c:v>-2.12290766775746</c:v>
                </c:pt>
                <c:pt idx="8">
                  <c:v>-9.98749533337446</c:v>
                </c:pt>
                <c:pt idx="9">
                  <c:v>2.12290766775746</c:v>
                </c:pt>
                <c:pt idx="11">
                  <c:v>-9.98749533337446</c:v>
                </c:pt>
                <c:pt idx="12">
                  <c:v>-9.98749533337446</c:v>
                </c:pt>
                <c:pt idx="14">
                  <c:v>-2.12290766775746</c:v>
                </c:pt>
                <c:pt idx="15">
                  <c:v>-2.12290766775746</c:v>
                </c:pt>
                <c:pt idx="17">
                  <c:v>9.98749533337446</c:v>
                </c:pt>
                <c:pt idx="18">
                  <c:v>9.98749533337446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-3.57503369249088</c:v>
                </c:pt>
                <c:pt idx="1">
                  <c:v>-7.51779524730181</c:v>
                </c:pt>
                <c:pt idx="2">
                  <c:v>-10.0782545391633</c:v>
                </c:pt>
                <c:pt idx="3">
                  <c:v>-6.13549298435232</c:v>
                </c:pt>
                <c:pt idx="4">
                  <c:v>-3.57503369249088</c:v>
                </c:pt>
                <c:pt idx="5">
                  <c:v>10.0782545391633</c:v>
                </c:pt>
                <c:pt idx="6">
                  <c:v>6.13549298435232</c:v>
                </c:pt>
                <c:pt idx="7">
                  <c:v>3.57503369249088</c:v>
                </c:pt>
                <c:pt idx="8">
                  <c:v>7.51779524730181</c:v>
                </c:pt>
                <c:pt idx="9">
                  <c:v>10.0782545391633</c:v>
                </c:pt>
                <c:pt idx="11">
                  <c:v>7.51779524730181</c:v>
                </c:pt>
                <c:pt idx="12">
                  <c:v>-6.13549298435232</c:v>
                </c:pt>
                <c:pt idx="14">
                  <c:v>-10.0782545391633</c:v>
                </c:pt>
                <c:pt idx="15">
                  <c:v>3.57503369249088</c:v>
                </c:pt>
                <c:pt idx="17">
                  <c:v>6.13549298435232</c:v>
                </c:pt>
                <c:pt idx="18">
                  <c:v>-7.51779524730181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"line1"</c:f>
              <c:strCache>
                <c:ptCount val="1"/>
                <c:pt idx="0">
                  <c:v>line1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View'!$BE$16:$BE$17</c:f>
              <c:numCache>
                <c:formatCode>General</c:formatCode>
                <c:ptCount val="2"/>
                <c:pt idx="0">
                  <c:v>-19.6871641141221</c:v>
                </c:pt>
                <c:pt idx="1">
                  <c:v>-39.5925114822863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73.7017349158449</c:v>
                </c:pt>
                <c:pt idx="1">
                  <c:v>-25.2981689264032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"line2"</c:f>
              <c:strCache>
                <c:ptCount val="1"/>
                <c:pt idx="0">
                  <c:v>line2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View'!$BE$18:$BE$19</c:f>
              <c:numCache>
                <c:formatCode>General</c:formatCode>
                <c:ptCount val="2"/>
                <c:pt idx="0">
                  <c:v>29.4156211460194</c:v>
                </c:pt>
                <c:pt idx="1">
                  <c:v>47.4979702436605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73.8357261767878</c:v>
                </c:pt>
                <c:pt idx="1">
                  <c:v>-23.8122046533976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"line3"</c:f>
              <c:strCache>
                <c:ptCount val="1"/>
                <c:pt idx="0">
                  <c:v>line3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View'!$BE$20:$BE$21</c:f>
              <c:numCache>
                <c:formatCode>General</c:formatCode>
                <c:ptCount val="2"/>
                <c:pt idx="0">
                  <c:v>90.3945138278456</c:v>
                </c:pt>
                <c:pt idx="1">
                  <c:v>87.0904817259465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110.885394899038</c:v>
                </c:pt>
                <c:pt idx="1">
                  <c:v>1.48596427300569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"line4"</c:f>
              <c:strCache>
                <c:ptCount val="1"/>
                <c:pt idx="0">
                  <c:v>line4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View'!$BE$22:$BE$23</c:f>
              <c:numCache>
                <c:formatCode>General</c:formatCode>
                <c:ptCount val="2"/>
                <c:pt idx="0">
                  <c:v>63.6115523838975</c:v>
                </c:pt>
                <c:pt idx="1">
                  <c:v>39.5925114822863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124.312523592237</c:v>
                </c:pt>
                <c:pt idx="1">
                  <c:v>25.2981689264032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"line5"</c:f>
              <c:strCache>
                <c:ptCount val="1"/>
                <c:pt idx="0">
                  <c:v>line5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View'!$BE$24:$BE$25</c:f>
              <c:numCache>
                <c:formatCode>General</c:formatCode>
                <c:ptCount val="2"/>
                <c:pt idx="0">
                  <c:v>-70.5397517399531</c:v>
                </c:pt>
                <c:pt idx="1">
                  <c:v>-47.4979702436605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123.946452659571</c:v>
                </c:pt>
                <c:pt idx="1">
                  <c:v>23.8122046533976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"line6"</c:f>
              <c:strCache>
                <c:ptCount val="1"/>
                <c:pt idx="0">
                  <c:v>line6</c:v>
                </c:pt>
              </c:strCache>
            </c:strRef>
          </c:tx>
          <c:spPr>
            <a:solidFill>
              <a:srgbClr val="ff0000"/>
            </a:solidFill>
            <a:ln w="2844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View'!$BE$26:$BE$27</c:f>
              <c:numCache>
                <c:formatCode>General</c:formatCode>
                <c:ptCount val="2"/>
                <c:pt idx="0">
                  <c:v>-92.8595755561465</c:v>
                </c:pt>
                <c:pt idx="1">
                  <c:v>-87.0904817259465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110.385332705429</c:v>
                </c:pt>
                <c:pt idx="1">
                  <c:v>-1.48596427300569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"servoarm1"</c:f>
              <c:strCache>
                <c:ptCount val="1"/>
                <c:pt idx="0">
                  <c:v>servoarm1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View'!$BE$40:$BE$41</c:f>
              <c:numCache>
                <c:formatCode>General</c:formatCode>
                <c:ptCount val="2"/>
                <c:pt idx="0">
                  <c:v>-39.5925114822863</c:v>
                </c:pt>
                <c:pt idx="1">
                  <c:v>-70.0436316068251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-25.2981689264032</c:v>
                </c:pt>
                <c:pt idx="1">
                  <c:v>-19.0378441160403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"servoarm2"</c:f>
              <c:strCache>
                <c:ptCount val="1"/>
                <c:pt idx="0">
                  <c:v>servoarm2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View'!$BE$42:$BE$43</c:f>
              <c:numCache>
                <c:formatCode>General</c:formatCode>
                <c:ptCount val="2"/>
                <c:pt idx="0">
                  <c:v>47.4979702436605</c:v>
                </c:pt>
                <c:pt idx="1">
                  <c:v>76.1776817614465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-23.8122046533976</c:v>
                </c:pt>
                <c:pt idx="1">
                  <c:v>-17.2949660796026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"servoarm3"</c:f>
              <c:strCache>
                <c:ptCount val="1"/>
                <c:pt idx="0">
                  <c:v>servoarm3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View'!$BE$44:$BE$45</c:f>
              <c:numCache>
                <c:formatCode>General</c:formatCode>
                <c:ptCount val="2"/>
                <c:pt idx="0">
                  <c:v>87.0904817259465</c:v>
                </c:pt>
                <c:pt idx="1">
                  <c:v>88.8790567267709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1.48596427300569</c:v>
                </c:pt>
                <c:pt idx="1">
                  <c:v>-10.8642133441012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"servoarm4"</c:f>
              <c:strCache>
                <c:ptCount val="1"/>
                <c:pt idx="0">
                  <c:v>servoarm4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View'!$BE$46:$BE$47</c:f>
              <c:numCache>
                <c:formatCode>General</c:formatCode>
                <c:ptCount val="2"/>
                <c:pt idx="0">
                  <c:v>39.5925114822863</c:v>
                </c:pt>
                <c:pt idx="1">
                  <c:v>9.14881743916002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25.2981689264032</c:v>
                </c:pt>
                <c:pt idx="1">
                  <c:v>28.9444936716935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"servoarm5"</c:f>
              <c:strCache>
                <c:ptCount val="1"/>
                <c:pt idx="0">
                  <c:v>servoarm5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View'!$BE$48:$BE$49</c:f>
              <c:numCache>
                <c:formatCode>General</c:formatCode>
                <c:ptCount val="2"/>
                <c:pt idx="0">
                  <c:v>-47.4979702436605</c:v>
                </c:pt>
                <c:pt idx="1">
                  <c:v>-18.8184477565369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23.8122046533976</c:v>
                </c:pt>
                <c:pt idx="1">
                  <c:v>30.3443485209549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"servoarm6"</c:f>
              <c:strCache>
                <c:ptCount val="1"/>
                <c:pt idx="0">
                  <c:v>servoarm6</c:v>
                </c:pt>
              </c:strCache>
            </c:strRef>
          </c:tx>
          <c:spPr>
            <a:solidFill>
              <a:srgbClr val="558ed5"/>
            </a:solidFill>
            <a:ln w="28440">
              <a:solidFill>
                <a:srgbClr val="558ed5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View'!$BE$50:$BE$51</c:f>
              <c:numCache>
                <c:formatCode>General</c:formatCode>
                <c:ptCount val="2"/>
                <c:pt idx="0">
                  <c:v>-87.0904817259465</c:v>
                </c:pt>
                <c:pt idx="1">
                  <c:v>-85.3022256652305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-1.48596427300569</c:v>
                </c:pt>
                <c:pt idx="1">
                  <c:v>-11.2137208114931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View'!$BE$54:$BE$55</c:f>
              <c:numCache>
                <c:formatCode>General</c:formatCode>
                <c:ptCount val="2"/>
                <c:pt idx="0">
                  <c:v>-19.6871641141221</c:v>
                </c:pt>
                <c:pt idx="1">
                  <c:v>-70.0436316068251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73.7017349158449</c:v>
                </c:pt>
                <c:pt idx="1">
                  <c:v>-19.0378441160403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View'!$BE$56:$BE$57</c:f>
              <c:numCache>
                <c:formatCode>General</c:formatCode>
                <c:ptCount val="2"/>
                <c:pt idx="0">
                  <c:v>29.4156211460194</c:v>
                </c:pt>
                <c:pt idx="1">
                  <c:v>76.1776817614465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73.8357261767878</c:v>
                </c:pt>
                <c:pt idx="1">
                  <c:v>-17.2949660796026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View'!$BE$58:$BE$59</c:f>
              <c:numCache>
                <c:formatCode>General</c:formatCode>
                <c:ptCount val="2"/>
                <c:pt idx="0">
                  <c:v>90.3945138278456</c:v>
                </c:pt>
                <c:pt idx="1">
                  <c:v>88.8790567267709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110.885394899038</c:v>
                </c:pt>
                <c:pt idx="1">
                  <c:v>-10.8642133441012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View'!$BE$60:$BE$61</c:f>
              <c:numCache>
                <c:formatCode>General</c:formatCode>
                <c:ptCount val="2"/>
                <c:pt idx="0">
                  <c:v>63.6115523838975</c:v>
                </c:pt>
                <c:pt idx="1">
                  <c:v>9.14881743916002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124.312523592237</c:v>
                </c:pt>
                <c:pt idx="1">
                  <c:v>28.9444936716935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View'!$BE$62:$BE$63</c:f>
              <c:numCache>
                <c:formatCode>General</c:formatCode>
                <c:ptCount val="2"/>
                <c:pt idx="0">
                  <c:v>-70.5397517399531</c:v>
                </c:pt>
                <c:pt idx="1">
                  <c:v>-18.8184477565369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123.946452659571</c:v>
                </c:pt>
                <c:pt idx="1">
                  <c:v>30.3443485209549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solidFill>
              <a:srgbClr val="92d050"/>
            </a:solidFill>
            <a:ln w="28440">
              <a:solidFill>
                <a:srgbClr val="92d050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View'!$BE$64:$BE$65</c:f>
              <c:numCache>
                <c:formatCode>General</c:formatCode>
                <c:ptCount val="2"/>
                <c:pt idx="0">
                  <c:v>-92.8595755561465</c:v>
                </c:pt>
                <c:pt idx="1">
                  <c:v>-85.3022256652305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110.385332705429</c:v>
                </c:pt>
                <c:pt idx="1">
                  <c:v>-11.2137208114931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square"/>
            <c:size val="5"/>
            <c:spPr>
              <a:solidFill>
                <a:srgbClr val="000000"/>
              </a:solidFill>
            </c:spPr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View'!$BE$69:$BE$75</c:f>
              <c:numCache>
                <c:formatCode>General</c:formatCode>
                <c:ptCount val="7"/>
                <c:pt idx="0">
                  <c:v>-19.6871641141221</c:v>
                </c:pt>
                <c:pt idx="1">
                  <c:v>29.4156211460194</c:v>
                </c:pt>
                <c:pt idx="2">
                  <c:v>90.3945138278456</c:v>
                </c:pt>
                <c:pt idx="3">
                  <c:v>63.6115523838975</c:v>
                </c:pt>
                <c:pt idx="4">
                  <c:v>-70.5397517399531</c:v>
                </c:pt>
                <c:pt idx="5">
                  <c:v>-92.8595755561465</c:v>
                </c:pt>
                <c:pt idx="6">
                  <c:v>-19.6871641141221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73.7017349158449</c:v>
                </c:pt>
                <c:pt idx="1">
                  <c:v>73.8357261767878</c:v>
                </c:pt>
                <c:pt idx="2">
                  <c:v>110.885394899038</c:v>
                </c:pt>
                <c:pt idx="3">
                  <c:v>124.312523592237</c:v>
                </c:pt>
                <c:pt idx="4">
                  <c:v>123.946452659571</c:v>
                </c:pt>
                <c:pt idx="5">
                  <c:v>110.385332705429</c:v>
                </c:pt>
                <c:pt idx="6">
                  <c:v>73.7017349158449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solidFill>
              <a:srgbClr val="000000"/>
            </a:solidFill>
            <a:ln w="19080">
              <a:solidFill>
                <a:srgbClr val="000000"/>
              </a:solidFill>
              <a:round/>
            </a:ln>
          </c:spPr>
          <c:marker>
            <c:symbol val="square"/>
            <c:size val="5"/>
            <c:spPr>
              <a:solidFill>
                <a:srgbClr val="000000"/>
              </a:solidFill>
            </c:spPr>
          </c:marker>
          <c:dLbls>
            <c:txPr>
              <a:bodyPr/>
              <a:lstStyle/>
              <a:p>
                <a:pPr>
                  <a:defRPr b="0" sz="800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'3D View'!$BE$77:$BE$83</c:f>
              <c:numCache>
                <c:formatCode>General</c:formatCode>
                <c:ptCount val="7"/>
                <c:pt idx="0">
                  <c:v>-39.5925114822863</c:v>
                </c:pt>
                <c:pt idx="1">
                  <c:v>47.4979702436605</c:v>
                </c:pt>
                <c:pt idx="2">
                  <c:v>87.0904817259465</c:v>
                </c:pt>
                <c:pt idx="3">
                  <c:v>39.5925114822863</c:v>
                </c:pt>
                <c:pt idx="4">
                  <c:v>-47.4979702436605</c:v>
                </c:pt>
                <c:pt idx="5">
                  <c:v>-87.0904817259465</c:v>
                </c:pt>
                <c:pt idx="6">
                  <c:v>-39.5925114822863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-25.2981689264032</c:v>
                </c:pt>
                <c:pt idx="1">
                  <c:v>-23.8122046533976</c:v>
                </c:pt>
                <c:pt idx="2">
                  <c:v>1.48596427300569</c:v>
                </c:pt>
                <c:pt idx="3">
                  <c:v>25.2981689264032</c:v>
                </c:pt>
                <c:pt idx="4">
                  <c:v>23.8122046533976</c:v>
                </c:pt>
                <c:pt idx="5">
                  <c:v>-1.48596427300569</c:v>
                </c:pt>
                <c:pt idx="6">
                  <c:v>-25.2981689264032</c:v>
                </c:pt>
              </c:numCache>
            </c:numRef>
          </c:yVal>
          <c:smooth val="1"/>
        </c:ser>
        <c:axId val="16588289"/>
        <c:axId val="16410479"/>
      </c:scatterChart>
      <c:valAx>
        <c:axId val="16588289"/>
        <c:scaling>
          <c:orientation val="minMax"/>
          <c:max val="170"/>
          <c:min val="-170"/>
        </c:scaling>
        <c:delete val="0"/>
        <c:axPos val="b"/>
        <c:numFmt formatCode="General" sourceLinked="0"/>
        <c:majorTickMark val="out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16410479"/>
        <c:crosses val="autoZero"/>
        <c:crossBetween val="midCat"/>
      </c:valAx>
      <c:valAx>
        <c:axId val="16410479"/>
        <c:scaling>
          <c:orientation val="minMax"/>
          <c:max val="170"/>
          <c:min val="-170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9360">
            <a:noFill/>
          </a:ln>
        </c:spPr>
        <c:txPr>
          <a:bodyPr/>
          <a:lstStyle/>
          <a:p>
            <a:pPr>
              <a:defRPr b="0" sz="800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16588289"/>
        <c:crosses val="autoZero"/>
        <c:crossBetween val="midCat"/>
      </c:valAx>
      <c:spPr>
        <a:noFill/>
        <a:ln w="25560">
          <a:noFill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Servo angle deg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021114657501"/>
          <c:y val="0.345233346629438"/>
          <c:w val="0.522628693019069"/>
          <c:h val="0.60949341842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</c:spPr>
          <c:invertIfNegative val="0"/>
          <c:dLbls>
            <c:numFmt formatCode="#,##0" sourceLinked="0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val>
            <c:numRef>
              <c:f>DATA!$O$50:$O$55</c:f>
              <c:numCache>
                <c:formatCode>General</c:formatCode>
                <c:ptCount val="6"/>
                <c:pt idx="0">
                  <c:v>2.14254449883109</c:v>
                </c:pt>
                <c:pt idx="1">
                  <c:v>0.803718017315515</c:v>
                </c:pt>
                <c:pt idx="2">
                  <c:v>-2.19616444793128</c:v>
                </c:pt>
                <c:pt idx="3">
                  <c:v>-2.48816485946237</c:v>
                </c:pt>
                <c:pt idx="4">
                  <c:v>0.830201438313542</c:v>
                </c:pt>
                <c:pt idx="5">
                  <c:v>2.44813906142629</c:v>
                </c:pt>
              </c:numCache>
            </c:numRef>
          </c:val>
        </c:ser>
        <c:gapWidth val="150"/>
        <c:overlap val="0"/>
        <c:axId val="59639556"/>
        <c:axId val="74344974"/>
      </c:barChart>
      <c:catAx>
        <c:axId val="59639556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4344974"/>
        <c:crosses val="autoZero"/>
        <c:auto val="1"/>
        <c:lblAlgn val="ctr"/>
        <c:lblOffset val="100"/>
        <c:noMultiLvlLbl val="0"/>
      </c:catAx>
      <c:valAx>
        <c:axId val="74344974"/>
        <c:scaling>
          <c:orientation val="minMax"/>
          <c:max val="65"/>
          <c:min val="-5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_ * #,##0.00_ ;_ * \-#,##0.00_ ;_ * \-??_ ;_ @_ 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9639556"/>
        <c:crosses val="autoZero"/>
        <c:crossBetween val="between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57240</xdr:colOff>
      <xdr:row>1</xdr:row>
      <xdr:rowOff>57240</xdr:rowOff>
    </xdr:from>
    <xdr:to>
      <xdr:col>5</xdr:col>
      <xdr:colOff>3276000</xdr:colOff>
      <xdr:row>35</xdr:row>
      <xdr:rowOff>9000</xdr:rowOff>
    </xdr:to>
    <xdr:graphicFrame>
      <xdr:nvGraphicFramePr>
        <xdr:cNvPr id="0" name="Chart 1"/>
        <xdr:cNvGraphicFramePr/>
      </xdr:nvGraphicFramePr>
      <xdr:xfrm>
        <a:off x="57240" y="224640"/>
        <a:ext cx="6222600" cy="5779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441360</xdr:colOff>
      <xdr:row>21</xdr:row>
      <xdr:rowOff>98280</xdr:rowOff>
    </xdr:from>
    <xdr:to>
      <xdr:col>16</xdr:col>
      <xdr:colOff>399240</xdr:colOff>
      <xdr:row>32</xdr:row>
      <xdr:rowOff>46800</xdr:rowOff>
    </xdr:to>
    <xdr:graphicFrame>
      <xdr:nvGraphicFramePr>
        <xdr:cNvPr id="1" name="Chart 2"/>
        <xdr:cNvGraphicFramePr/>
      </xdr:nvGraphicFramePr>
      <xdr:xfrm>
        <a:off x="11890800" y="3738600"/>
        <a:ext cx="2530800" cy="1792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15</xdr:col>
      <xdr:colOff>47160</xdr:colOff>
      <xdr:row>26</xdr:row>
      <xdr:rowOff>52560</xdr:rowOff>
    </xdr:from>
    <xdr:to>
      <xdr:col>16</xdr:col>
      <xdr:colOff>713880</xdr:colOff>
      <xdr:row>51</xdr:row>
      <xdr:rowOff>142200</xdr:rowOff>
    </xdr:to>
    <xdr:graphicFrame>
      <xdr:nvGraphicFramePr>
        <xdr:cNvPr id="2" name="Chart 2"/>
        <xdr:cNvGraphicFramePr/>
      </xdr:nvGraphicFramePr>
      <xdr:xfrm>
        <a:off x="11900520" y="4716000"/>
        <a:ext cx="4194720" cy="4349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238680</xdr:colOff>
      <xdr:row>0</xdr:row>
      <xdr:rowOff>90360</xdr:rowOff>
    </xdr:from>
    <xdr:to>
      <xdr:col>30</xdr:col>
      <xdr:colOff>353520</xdr:colOff>
      <xdr:row>22</xdr:row>
      <xdr:rowOff>15480</xdr:rowOff>
    </xdr:to>
    <xdr:graphicFrame>
      <xdr:nvGraphicFramePr>
        <xdr:cNvPr id="3" name="Chart 3"/>
        <xdr:cNvGraphicFramePr/>
      </xdr:nvGraphicFramePr>
      <xdr:xfrm>
        <a:off x="21250800" y="90360"/>
        <a:ext cx="4404240" cy="3902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244080</xdr:colOff>
      <xdr:row>24</xdr:row>
      <xdr:rowOff>48960</xdr:rowOff>
    </xdr:from>
    <xdr:to>
      <xdr:col>30</xdr:col>
      <xdr:colOff>353160</xdr:colOff>
      <xdr:row>34</xdr:row>
      <xdr:rowOff>154440</xdr:rowOff>
    </xdr:to>
    <xdr:graphicFrame>
      <xdr:nvGraphicFramePr>
        <xdr:cNvPr id="4" name="Chart 4"/>
        <xdr:cNvGraphicFramePr/>
      </xdr:nvGraphicFramePr>
      <xdr:xfrm>
        <a:off x="21256200" y="4376880"/>
        <a:ext cx="4398480" cy="1804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dmwaters1982@gmail.com" TargetMode="External"/><Relationship Id="rId2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L1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K9" activeCellId="0" sqref="BK9"/>
    </sheetView>
  </sheetViews>
  <sheetFormatPr defaultColWidth="9.12890625" defaultRowHeight="13.2" zeroHeight="false" outlineLevelRow="0" outlineLevelCol="0"/>
  <cols>
    <col collapsed="false" customWidth="false" hidden="false" outlineLevel="0" max="3" min="1" style="1" width="9.12"/>
    <col collapsed="false" customWidth="false" hidden="false" outlineLevel="0" max="4" min="4" style="2" width="9.12"/>
    <col collapsed="false" customWidth="true" hidden="false" outlineLevel="0" max="5" min="5" style="1" width="6.11"/>
    <col collapsed="false" customWidth="true" hidden="false" outlineLevel="0" max="6" min="6" style="1" width="59.56"/>
    <col collapsed="false" customWidth="true" hidden="false" outlineLevel="0" max="7" min="7" style="1" width="14.55"/>
    <col collapsed="false" customWidth="false" hidden="false" outlineLevel="0" max="50" min="8" style="1" width="9.12"/>
    <col collapsed="false" customWidth="true" hidden="false" outlineLevel="0" max="51" min="51" style="1" width="16.44"/>
    <col collapsed="false" customWidth="false" hidden="false" outlineLevel="0" max="1024" min="52" style="1" width="9.12"/>
  </cols>
  <sheetData>
    <row r="1" customFormat="false" ht="13.2" hidden="false" customHeight="false" outlineLevel="0" collapsed="false">
      <c r="A1" s="1" t="s">
        <v>0</v>
      </c>
      <c r="M1" s="3" t="s">
        <v>1</v>
      </c>
      <c r="AY1" s="1" t="s">
        <v>2</v>
      </c>
      <c r="AZ1" s="1" t="s">
        <v>3</v>
      </c>
      <c r="BA1" s="1" t="s">
        <v>4</v>
      </c>
      <c r="BB1" s="1" t="s">
        <v>5</v>
      </c>
      <c r="BD1" s="1" t="s">
        <v>6</v>
      </c>
      <c r="BE1" s="1" t="s">
        <v>3</v>
      </c>
      <c r="BF1" s="1" t="s">
        <v>4</v>
      </c>
      <c r="BG1" s="4"/>
      <c r="BI1" s="1" t="s">
        <v>7</v>
      </c>
    </row>
    <row r="2" customFormat="false" ht="13.8" hidden="false" customHeight="false" outlineLevel="0" collapsed="false">
      <c r="G2" s="5" t="s">
        <v>8</v>
      </c>
      <c r="AY2" s="6" t="s">
        <v>9</v>
      </c>
      <c r="AZ2" s="7" t="n">
        <f aca="false">DATA!K12</f>
        <v>352.553390593274</v>
      </c>
      <c r="BA2" s="8" t="n">
        <f aca="false">DATA!L12</f>
        <v>352.499542699412</v>
      </c>
      <c r="BB2" s="9" t="n">
        <f aca="false">DATA!M12</f>
        <v>578.170357469914</v>
      </c>
      <c r="BE2" s="7" t="n">
        <f aca="false">(AZ2*_RMX1)+(BA2*_RMY1)+(BB2*_RMZ1)</f>
        <v>-19.6871641141221</v>
      </c>
      <c r="BF2" s="9" t="n">
        <f aca="false">(AZ2*_RMX2)+(BA2*_RMY2)+(BB2*_RMZ2)</f>
        <v>73.7017349158449</v>
      </c>
      <c r="BG2" s="4"/>
      <c r="BH2" s="4"/>
      <c r="BI2" s="10" t="n">
        <f aca="false">SIN(RADIANS(XROTATE))</f>
        <v>-0.945518575599317</v>
      </c>
      <c r="BJ2" s="11" t="n">
        <f aca="false">SIN(RADIANS(YROTATE))</f>
        <v>0</v>
      </c>
      <c r="BK2" s="12" t="n">
        <f aca="false">SIN(RADIANS(ZROTATE))</f>
        <v>0.838670567945424</v>
      </c>
      <c r="BL2" s="1" t="s">
        <v>10</v>
      </c>
    </row>
    <row r="3" customFormat="false" ht="13.2" hidden="false" customHeight="false" outlineLevel="0" collapsed="false">
      <c r="G3" s="7" t="s">
        <v>11</v>
      </c>
      <c r="H3" s="8"/>
      <c r="I3" s="8"/>
      <c r="J3" s="8"/>
      <c r="K3" s="9"/>
      <c r="M3" s="13" t="s">
        <v>12</v>
      </c>
      <c r="N3" s="14"/>
      <c r="AY3" s="15" t="s">
        <v>13</v>
      </c>
      <c r="AZ3" s="16" t="n">
        <f aca="false">DATA!K13</f>
        <v>481.962913144534</v>
      </c>
      <c r="BA3" s="17" t="n">
        <f aca="false">DATA!L13</f>
        <v>128.389812854167</v>
      </c>
      <c r="BB3" s="18" t="n">
        <f aca="false">DATA!M13</f>
        <v>574.258507584419</v>
      </c>
      <c r="BE3" s="16" t="n">
        <f aca="false">(AZ3*_RMX1)+(BA3*_RMY1)+(BB3*_RMZ1)</f>
        <v>29.4156211460194</v>
      </c>
      <c r="BF3" s="18" t="n">
        <f aca="false">(AZ3*_RMX2)+(BA3*_RMY2)+(BB3*_RMZ2)</f>
        <v>73.8357261767878</v>
      </c>
      <c r="BG3" s="4"/>
      <c r="BI3" s="19" t="n">
        <f aca="false">COS(RADIANS(XROTATE))</f>
        <v>-0.325568154457157</v>
      </c>
      <c r="BJ3" s="20" t="n">
        <f aca="false">COS(RADIANS(YROTATE))</f>
        <v>1</v>
      </c>
      <c r="BK3" s="21" t="n">
        <f aca="false">COS(RADIANS(ZROTATE))</f>
        <v>0.544639035015027</v>
      </c>
      <c r="BL3" s="1" t="s">
        <v>14</v>
      </c>
    </row>
    <row r="4" customFormat="false" ht="13.2" hidden="false" customHeight="false" outlineLevel="0" collapsed="false">
      <c r="G4" s="16"/>
      <c r="H4" s="17"/>
      <c r="I4" s="17"/>
      <c r="J4" s="17"/>
      <c r="K4" s="18"/>
      <c r="M4" s="22" t="n">
        <v>1</v>
      </c>
      <c r="N4" s="23" t="n">
        <f aca="false">ISERR(DATA!O50)</f>
        <v>0</v>
      </c>
      <c r="AY4" s="15" t="s">
        <v>15</v>
      </c>
      <c r="AZ4" s="16" t="n">
        <f aca="false">DATA!K14</f>
        <v>128.40952255126</v>
      </c>
      <c r="BA4" s="17" t="n">
        <f aca="false">DATA!L14</f>
        <v>-483.889355553579</v>
      </c>
      <c r="BB4" s="18" t="n">
        <f aca="false">DATA!M14</f>
        <v>563.571134945667</v>
      </c>
      <c r="BE4" s="16" t="n">
        <f aca="false">(AZ4*_RMX1)+(BA4*_RMY1)+(BB4*_RMZ1)</f>
        <v>90.3945138278456</v>
      </c>
      <c r="BF4" s="18" t="n">
        <f aca="false">(AZ4*_RMX2)+(BA4*_RMY2)+(BB4*_RMZ2)</f>
        <v>110.885394899038</v>
      </c>
      <c r="BG4" s="4"/>
    </row>
    <row r="5" customFormat="false" ht="13.2" hidden="false" customHeight="false" outlineLevel="0" collapsed="false">
      <c r="G5" s="16" t="s">
        <v>16</v>
      </c>
      <c r="H5" s="24" t="n">
        <v>251</v>
      </c>
      <c r="I5" s="17"/>
      <c r="J5" s="17"/>
      <c r="K5" s="18"/>
      <c r="M5" s="22" t="n">
        <v>2</v>
      </c>
      <c r="N5" s="23" t="n">
        <f aca="false">ISERR(DATA!O51)</f>
        <v>0</v>
      </c>
      <c r="AY5" s="15" t="s">
        <v>17</v>
      </c>
      <c r="AZ5" s="16" t="n">
        <f aca="false">DATA!K15</f>
        <v>-130.40952255126</v>
      </c>
      <c r="BA5" s="17" t="n">
        <f aca="false">DATA!L15</f>
        <v>-483.889355553579</v>
      </c>
      <c r="BB5" s="18" t="n">
        <f aca="false">DATA!M15</f>
        <v>563.571134945667</v>
      </c>
      <c r="BE5" s="16" t="n">
        <f aca="false">(AZ5*_RMX1)+(BA5*_RMY1)+(BB5*_RMZ1)</f>
        <v>63.6115523838975</v>
      </c>
      <c r="BF5" s="18" t="n">
        <f aca="false">(AZ5*_RMX2)+(BA5*_RMY2)+(BB5*_RMZ2)</f>
        <v>124.312523592237</v>
      </c>
      <c r="BG5" s="4"/>
      <c r="BI5" s="1" t="s">
        <v>18</v>
      </c>
    </row>
    <row r="6" customFormat="false" ht="13.2" hidden="false" customHeight="false" outlineLevel="0" collapsed="false">
      <c r="G6" s="16" t="s">
        <v>19</v>
      </c>
      <c r="H6" s="24" t="n">
        <v>0</v>
      </c>
      <c r="I6" s="17"/>
      <c r="J6" s="17"/>
      <c r="K6" s="18"/>
      <c r="M6" s="22" t="n">
        <v>3</v>
      </c>
      <c r="N6" s="23" t="n">
        <f aca="false">ISERR(DATA!O52)</f>
        <v>0</v>
      </c>
      <c r="AY6" s="15" t="s">
        <v>20</v>
      </c>
      <c r="AZ6" s="16" t="n">
        <f aca="false">DATA!K16</f>
        <v>-483.962913144534</v>
      </c>
      <c r="BA6" s="17" t="n">
        <f aca="false">DATA!L16</f>
        <v>128.389812854167</v>
      </c>
      <c r="BB6" s="18" t="n">
        <f aca="false">DATA!M16</f>
        <v>574.258507584419</v>
      </c>
      <c r="BE6" s="16" t="n">
        <f aca="false">(AZ6*_RMX1)+(BA6*_RMY1)+(BB6*_RMZ1)</f>
        <v>-70.5397517399531</v>
      </c>
      <c r="BF6" s="18" t="n">
        <f aca="false">(AZ6*_RMX2)+(BA6*_RMY2)+(BB6*_RMZ2)</f>
        <v>123.946452659571</v>
      </c>
      <c r="BG6" s="4"/>
      <c r="BI6" s="10" t="n">
        <f aca="false">YCOS*ZCOS*ZOOM/200</f>
        <v>0.103481416652855</v>
      </c>
      <c r="BJ6" s="11" t="n">
        <f aca="false">-ZSIN * YCOS*ZOOM/200</f>
        <v>-0.159347407909631</v>
      </c>
      <c r="BK6" s="12" t="n">
        <f aca="false">YSIN*ZOOM/200</f>
        <v>0</v>
      </c>
    </row>
    <row r="7" customFormat="false" ht="13.2" hidden="false" customHeight="false" outlineLevel="0" collapsed="false">
      <c r="G7" s="16" t="s">
        <v>21</v>
      </c>
      <c r="H7" s="24" t="n">
        <v>57</v>
      </c>
      <c r="I7" s="17"/>
      <c r="J7" s="17"/>
      <c r="K7" s="18"/>
      <c r="M7" s="22" t="n">
        <v>4</v>
      </c>
      <c r="N7" s="23" t="n">
        <f aca="false">ISERR(DATA!O53)</f>
        <v>0</v>
      </c>
      <c r="AY7" s="15" t="s">
        <v>22</v>
      </c>
      <c r="AZ7" s="16" t="n">
        <f aca="false">DATA!K17</f>
        <v>-354.553390593274</v>
      </c>
      <c r="BA7" s="17" t="n">
        <f aca="false">DATA!L17</f>
        <v>352.499542699412</v>
      </c>
      <c r="BB7" s="18" t="n">
        <f aca="false">DATA!M17</f>
        <v>578.170357469914</v>
      </c>
      <c r="BE7" s="16" t="n">
        <f aca="false">(AZ7*_RMX1)+(BA7*_RMY1)+(BB7*_RMZ1)</f>
        <v>-92.8595755561465</v>
      </c>
      <c r="BF7" s="18" t="n">
        <f aca="false">(AZ7*_RMX2)+(BA7*_RMY2)+(BB7*_RMZ2)</f>
        <v>110.385332705429</v>
      </c>
      <c r="BG7" s="4"/>
      <c r="BI7" s="25" t="n">
        <f aca="false">(ZCOS * -YSIN * -XSIN + ZSIN * XCOS)*ZOOM/200</f>
        <v>-0.0518784415106701</v>
      </c>
      <c r="BJ7" s="26" t="n">
        <f aca="false">(-ZSIN * -YSIN * -XSIN + ZCOS*XCOS)*ZOOM/200</f>
        <v>-0.0336902538402821</v>
      </c>
      <c r="BK7" s="27" t="n">
        <f aca="false">(YCOS * -XSIN)*ZOOM/200</f>
        <v>0.17964852936387</v>
      </c>
    </row>
    <row r="8" customFormat="false" ht="13.2" hidden="false" customHeight="false" outlineLevel="0" collapsed="false">
      <c r="G8" s="16" t="s">
        <v>23</v>
      </c>
      <c r="H8" s="24" t="n">
        <v>38</v>
      </c>
      <c r="I8" s="17"/>
      <c r="J8" s="17"/>
      <c r="K8" s="18"/>
      <c r="M8" s="22" t="n">
        <v>5</v>
      </c>
      <c r="N8" s="23" t="n">
        <f aca="false">ISERR(DATA!O54)</f>
        <v>0</v>
      </c>
      <c r="AY8" s="15" t="s">
        <v>24</v>
      </c>
      <c r="AZ8" s="16" t="n">
        <f aca="false">DATA!K3</f>
        <v>229.499999999999</v>
      </c>
      <c r="BA8" s="17" t="n">
        <f aca="false">DATA!L3</f>
        <v>397.505660337058</v>
      </c>
      <c r="BB8" s="18" t="n">
        <f aca="false">DATA!M3</f>
        <v>0</v>
      </c>
      <c r="BE8" s="16" t="n">
        <f aca="false">(AZ8*_RMX1)+(BA8*_RMY1)+(BB8*_RMZ1)</f>
        <v>-39.5925114822863</v>
      </c>
      <c r="BF8" s="18" t="n">
        <f aca="false">(AZ8*_RMX2)+(BA8*_RMY2)+(BB8*_RMZ2)</f>
        <v>-25.2981689264032</v>
      </c>
      <c r="BG8" s="4"/>
      <c r="BI8" s="19" t="n">
        <f aca="false">(ZCOS * -YSIN * XCOS + ZSIN * XSIN)*ZOOM/200</f>
        <v>-0.150665934152157</v>
      </c>
      <c r="BJ8" s="20" t="n">
        <f aca="false">(-ZSIN * -YSIN * XCOS + ZCOS * XSIN)*ZOOM/200</f>
        <v>-0.097843601674607</v>
      </c>
      <c r="BK8" s="21" t="n">
        <f aca="false">YCOS * XCOS*ZOOM/200</f>
        <v>-0.0618579493468598</v>
      </c>
    </row>
    <row r="9" customFormat="false" ht="13.2" hidden="false" customHeight="false" outlineLevel="0" collapsed="false">
      <c r="G9" s="16"/>
      <c r="H9" s="17"/>
      <c r="I9" s="17"/>
      <c r="J9" s="17"/>
      <c r="K9" s="18"/>
      <c r="M9" s="22" t="n">
        <v>6</v>
      </c>
      <c r="N9" s="23" t="n">
        <f aca="false">ISERR(DATA!O55)</f>
        <v>0</v>
      </c>
      <c r="AY9" s="15" t="s">
        <v>25</v>
      </c>
      <c r="AZ9" s="16" t="n">
        <f aca="false">DATA!K4</f>
        <v>459</v>
      </c>
      <c r="BA9" s="17" t="n">
        <f aca="false">DATA!L4</f>
        <v>0</v>
      </c>
      <c r="BB9" s="18" t="n">
        <f aca="false">DATA!M4</f>
        <v>0</v>
      </c>
      <c r="BE9" s="16" t="n">
        <f aca="false">(AZ9*_RMX1)+(BA9*_RMY1)+(BB9*_RMZ1)</f>
        <v>47.4979702436605</v>
      </c>
      <c r="BF9" s="18" t="n">
        <f aca="false">(AZ9*_RMX2)+(BA9*_RMY2)+(BB9*_RMZ2)</f>
        <v>-23.8122046533976</v>
      </c>
      <c r="BG9" s="4"/>
    </row>
    <row r="10" customFormat="false" ht="13.8" hidden="false" customHeight="false" outlineLevel="0" collapsed="false">
      <c r="G10" s="28"/>
      <c r="H10" s="29"/>
      <c r="I10" s="29"/>
      <c r="J10" s="29"/>
      <c r="K10" s="30"/>
      <c r="M10" s="31"/>
      <c r="N10" s="32"/>
      <c r="AY10" s="15" t="s">
        <v>26</v>
      </c>
      <c r="AZ10" s="16" t="n">
        <f aca="false">DATA!K5</f>
        <v>229.499999999999</v>
      </c>
      <c r="BA10" s="17" t="n">
        <f aca="false">DATA!L5</f>
        <v>-397.505660337058</v>
      </c>
      <c r="BB10" s="18" t="n">
        <f aca="false">DATA!M5</f>
        <v>0</v>
      </c>
      <c r="BE10" s="16" t="n">
        <f aca="false">(AZ10*_RMX1)+(BA10*_RMY1)+(BB10*_RMZ1)</f>
        <v>87.0904817259465</v>
      </c>
      <c r="BF10" s="18" t="n">
        <f aca="false">(AZ10*_RMX2)+(BA10*_RMY2)+(BB10*_RMZ2)</f>
        <v>1.48596427300569</v>
      </c>
      <c r="BG10" s="4"/>
    </row>
    <row r="11" customFormat="false" ht="13.8" hidden="false" customHeight="false" outlineLevel="0" collapsed="false">
      <c r="AY11" s="15" t="s">
        <v>27</v>
      </c>
      <c r="AZ11" s="16" t="n">
        <f aca="false">DATA!K6</f>
        <v>-229.499999999999</v>
      </c>
      <c r="BA11" s="17" t="n">
        <f aca="false">DATA!L6</f>
        <v>-397.505660337058</v>
      </c>
      <c r="BB11" s="18" t="n">
        <f aca="false">DATA!M6</f>
        <v>0</v>
      </c>
      <c r="BE11" s="16" t="n">
        <f aca="false">(AZ11*_RMX1)+(BA11*_RMY1)+(BB11*_RMZ1)</f>
        <v>39.5925114822863</v>
      </c>
      <c r="BF11" s="18" t="n">
        <f aca="false">(AZ11*_RMX2)+(BA11*_RMY2)+(BB11*_RMZ2)</f>
        <v>25.2981689264032</v>
      </c>
      <c r="BG11" s="4"/>
    </row>
    <row r="12" customFormat="false" ht="13.2" hidden="false" customHeight="false" outlineLevel="0" collapsed="false">
      <c r="G12" s="33" t="s">
        <v>28</v>
      </c>
      <c r="H12" s="34" t="s">
        <v>29</v>
      </c>
      <c r="I12" s="34" t="s">
        <v>30</v>
      </c>
      <c r="J12" s="34" t="s">
        <v>31</v>
      </c>
      <c r="K12" s="34" t="s">
        <v>32</v>
      </c>
      <c r="L12" s="35" t="s">
        <v>33</v>
      </c>
      <c r="M12" s="13"/>
      <c r="N12" s="36"/>
      <c r="O12" s="36"/>
      <c r="P12" s="36"/>
      <c r="Q12" s="14"/>
      <c r="AY12" s="15" t="s">
        <v>34</v>
      </c>
      <c r="AZ12" s="16" t="n">
        <f aca="false">DATA!K7</f>
        <v>-459</v>
      </c>
      <c r="BA12" s="17" t="n">
        <f aca="false">DATA!L7</f>
        <v>0</v>
      </c>
      <c r="BB12" s="18" t="n">
        <f aca="false">DATA!M7</f>
        <v>0</v>
      </c>
      <c r="BE12" s="16" t="n">
        <f aca="false">(AZ12*_RMX1)+(BA12*_RMY1)+(BB12*_RMZ1)</f>
        <v>-47.4979702436605</v>
      </c>
      <c r="BF12" s="18" t="n">
        <f aca="false">(AZ12*_RMX2)+(BA12*_RMY2)+(BB12*_RMZ2)</f>
        <v>23.8122046533976</v>
      </c>
    </row>
    <row r="13" customFormat="false" ht="13.2" hidden="false" customHeight="false" outlineLevel="0" collapsed="false">
      <c r="G13" s="22" t="n">
        <f aca="false">DATA!R10</f>
        <v>-1</v>
      </c>
      <c r="H13" s="17" t="n">
        <f aca="false">DATA!S10</f>
        <v>-1</v>
      </c>
      <c r="I13" s="17" t="n">
        <f aca="false">DATA!T10</f>
        <v>2</v>
      </c>
      <c r="J13" s="17" t="n">
        <f aca="false">DATA!U32-30</f>
        <v>1</v>
      </c>
      <c r="K13" s="17" t="n">
        <f aca="false">DATA!V32-30</f>
        <v>0</v>
      </c>
      <c r="L13" s="37" t="n">
        <f aca="false">DATA!W32-30</f>
        <v>0</v>
      </c>
      <c r="M13" s="22"/>
      <c r="N13" s="17"/>
      <c r="O13" s="17"/>
      <c r="P13" s="17"/>
      <c r="Q13" s="37"/>
      <c r="AY13" s="38" t="s">
        <v>35</v>
      </c>
      <c r="AZ13" s="28" t="n">
        <f aca="false">DATA!K8</f>
        <v>-229.499999999999</v>
      </c>
      <c r="BA13" s="29" t="n">
        <f aca="false">DATA!L8</f>
        <v>397.505660337058</v>
      </c>
      <c r="BB13" s="30" t="n">
        <f aca="false">DATA!M8</f>
        <v>0</v>
      </c>
      <c r="BE13" s="28" t="n">
        <f aca="false">(AZ13*_RMX1)+(BA13*_RMY1)+(BB13*_RMZ1)</f>
        <v>-87.0904817259465</v>
      </c>
      <c r="BF13" s="30" t="n">
        <f aca="false">(AZ13*_RMX2)+(BA13*_RMY2)+(BB13*_RMZ2)</f>
        <v>-1.48596427300569</v>
      </c>
    </row>
    <row r="14" customFormat="false" ht="13.2" hidden="false" customHeight="false" outlineLevel="0" collapsed="false">
      <c r="G14" s="22"/>
      <c r="H14" s="17"/>
      <c r="I14" s="17"/>
      <c r="J14" s="17"/>
      <c r="K14" s="17"/>
      <c r="L14" s="37"/>
      <c r="M14" s="22"/>
      <c r="N14" s="17" t="s">
        <v>36</v>
      </c>
      <c r="O14" s="17" t="s">
        <v>37</v>
      </c>
      <c r="P14" s="17" t="s">
        <v>38</v>
      </c>
      <c r="Q14" s="37" t="s">
        <v>39</v>
      </c>
    </row>
    <row r="15" customFormat="false" ht="13.2" hidden="false" customHeight="false" outlineLevel="0" collapsed="false">
      <c r="G15" s="22"/>
      <c r="H15" s="17"/>
      <c r="I15" s="17"/>
      <c r="J15" s="17"/>
      <c r="K15" s="17"/>
      <c r="L15" s="37"/>
      <c r="M15" s="22" t="s">
        <v>28</v>
      </c>
      <c r="N15" s="17" t="n">
        <v>0</v>
      </c>
      <c r="O15" s="17" t="n">
        <v>90</v>
      </c>
      <c r="P15" s="17" t="n">
        <v>270</v>
      </c>
      <c r="Q15" s="37" t="n">
        <v>300</v>
      </c>
    </row>
    <row r="16" customFormat="false" ht="13.2" hidden="false" customHeight="false" outlineLevel="0" collapsed="false">
      <c r="G16" s="22"/>
      <c r="H16" s="17"/>
      <c r="I16" s="17"/>
      <c r="J16" s="17"/>
      <c r="K16" s="17"/>
      <c r="L16" s="37"/>
      <c r="M16" s="22" t="s">
        <v>29</v>
      </c>
      <c r="N16" s="17" t="n">
        <v>0</v>
      </c>
      <c r="O16" s="17" t="n">
        <v>180</v>
      </c>
      <c r="P16" s="17" t="n">
        <v>0</v>
      </c>
      <c r="Q16" s="37" t="n">
        <v>0</v>
      </c>
      <c r="AY16" s="7" t="s">
        <v>40</v>
      </c>
      <c r="AZ16" s="7" t="n">
        <f aca="false">AZ2</f>
        <v>352.553390593274</v>
      </c>
      <c r="BA16" s="8" t="n">
        <f aca="false">BA2</f>
        <v>352.499542699412</v>
      </c>
      <c r="BB16" s="9" t="n">
        <f aca="false">BB2</f>
        <v>578.170357469914</v>
      </c>
      <c r="BE16" s="7" t="n">
        <f aca="false">(AZ16*_RMX1)+(BA16*_RMY1)+(BB16*_RMZ1)</f>
        <v>-19.6871641141221</v>
      </c>
      <c r="BF16" s="9" t="n">
        <f aca="false">(AZ16*_RMX2)+(BA16*_RMY2)+(BB16*_RMZ2)</f>
        <v>73.7017349158449</v>
      </c>
    </row>
    <row r="17" customFormat="false" ht="15.75" hidden="false" customHeight="true" outlineLevel="0" collapsed="false">
      <c r="G17" s="22"/>
      <c r="H17" s="17"/>
      <c r="I17" s="17"/>
      <c r="J17" s="17"/>
      <c r="K17" s="17"/>
      <c r="L17" s="37"/>
      <c r="M17" s="22" t="s">
        <v>30</v>
      </c>
      <c r="N17" s="17" t="n">
        <v>0</v>
      </c>
      <c r="O17" s="17" t="n">
        <v>90</v>
      </c>
      <c r="P17" s="17" t="n">
        <v>0</v>
      </c>
      <c r="Q17" s="37" t="n">
        <v>10</v>
      </c>
      <c r="AY17" s="28"/>
      <c r="AZ17" s="28" t="n">
        <f aca="false">AZ8</f>
        <v>229.499999999999</v>
      </c>
      <c r="BA17" s="29" t="n">
        <f aca="false">BA8</f>
        <v>397.505660337058</v>
      </c>
      <c r="BB17" s="30" t="n">
        <f aca="false">BB8</f>
        <v>0</v>
      </c>
      <c r="BE17" s="28" t="n">
        <f aca="false">(AZ17*_RMX1)+(BA17*_RMY1)+(BB17*_RMZ1)</f>
        <v>-39.5925114822863</v>
      </c>
      <c r="BF17" s="30" t="n">
        <f aca="false">(AZ17*_RMX2)+(BA17*_RMY2)+(BB17*_RMZ2)</f>
        <v>-25.2981689264032</v>
      </c>
    </row>
    <row r="18" customFormat="false" ht="15.75" hidden="false" customHeight="true" outlineLevel="0" collapsed="false">
      <c r="G18" s="22"/>
      <c r="H18" s="17"/>
      <c r="I18" s="17"/>
      <c r="J18" s="17"/>
      <c r="K18" s="17"/>
      <c r="L18" s="37"/>
      <c r="M18" s="22"/>
      <c r="N18" s="17"/>
      <c r="O18" s="17"/>
      <c r="P18" s="17"/>
      <c r="Q18" s="37"/>
      <c r="AY18" s="7" t="s">
        <v>41</v>
      </c>
      <c r="AZ18" s="7" t="n">
        <f aca="false">AZ3</f>
        <v>481.962913144534</v>
      </c>
      <c r="BA18" s="8" t="n">
        <f aca="false">BA3</f>
        <v>128.389812854167</v>
      </c>
      <c r="BB18" s="9" t="n">
        <f aca="false">BB3</f>
        <v>574.258507584419</v>
      </c>
      <c r="BE18" s="7" t="n">
        <f aca="false">(AZ18*_RMX1)+(BA18*_RMY1)+(BB18*_RMZ1)</f>
        <v>29.4156211460194</v>
      </c>
      <c r="BF18" s="9" t="n">
        <f aca="false">(AZ18*_RMX2)+(BA18*_RMY2)+(BB18*_RMZ2)</f>
        <v>73.8357261767878</v>
      </c>
    </row>
    <row r="19" customFormat="false" ht="15.75" hidden="false" customHeight="true" outlineLevel="0" collapsed="false">
      <c r="G19" s="22"/>
      <c r="H19" s="17"/>
      <c r="I19" s="17"/>
      <c r="J19" s="17"/>
      <c r="K19" s="17"/>
      <c r="L19" s="37"/>
      <c r="M19" s="22"/>
      <c r="N19" s="17"/>
      <c r="O19" s="17"/>
      <c r="P19" s="17"/>
      <c r="Q19" s="37"/>
      <c r="AY19" s="28"/>
      <c r="AZ19" s="28" t="n">
        <f aca="false">AZ9</f>
        <v>459</v>
      </c>
      <c r="BA19" s="29" t="n">
        <f aca="false">BA9</f>
        <v>0</v>
      </c>
      <c r="BB19" s="30" t="n">
        <f aca="false">BB9</f>
        <v>0</v>
      </c>
      <c r="BE19" s="28" t="n">
        <f aca="false">(AZ19*_RMX1)+(BA19*_RMY1)+(BB19*_RMZ1)</f>
        <v>47.4979702436605</v>
      </c>
      <c r="BF19" s="30" t="n">
        <f aca="false">(AZ19*_RMX2)+(BA19*_RMY2)+(BB19*_RMZ2)</f>
        <v>-23.8122046533976</v>
      </c>
    </row>
    <row r="20" customFormat="false" ht="13.2" hidden="false" customHeight="false" outlineLevel="0" collapsed="false">
      <c r="G20" s="22"/>
      <c r="H20" s="17"/>
      <c r="I20" s="17"/>
      <c r="J20" s="17"/>
      <c r="K20" s="17"/>
      <c r="L20" s="37"/>
      <c r="M20" s="22"/>
      <c r="N20" s="17"/>
      <c r="O20" s="17"/>
      <c r="P20" s="17"/>
      <c r="Q20" s="37"/>
      <c r="AY20" s="7" t="s">
        <v>42</v>
      </c>
      <c r="AZ20" s="7" t="n">
        <f aca="false">AZ4</f>
        <v>128.40952255126</v>
      </c>
      <c r="BA20" s="8" t="n">
        <f aca="false">BA4</f>
        <v>-483.889355553579</v>
      </c>
      <c r="BB20" s="9" t="n">
        <f aca="false">BB4</f>
        <v>563.571134945667</v>
      </c>
      <c r="BE20" s="7" t="n">
        <f aca="false">(AZ20*_RMX1)+(BA20*_RMY1)+(BB20*_RMZ1)</f>
        <v>90.3945138278456</v>
      </c>
      <c r="BF20" s="9" t="n">
        <f aca="false">(AZ20*_RMX2)+(BA20*_RMY2)+(BB20*_RMZ2)</f>
        <v>110.885394899038</v>
      </c>
    </row>
    <row r="21" customFormat="false" ht="13.2" hidden="false" customHeight="false" outlineLevel="0" collapsed="false">
      <c r="G21" s="22"/>
      <c r="H21" s="17"/>
      <c r="I21" s="17"/>
      <c r="J21" s="17"/>
      <c r="K21" s="17"/>
      <c r="L21" s="37"/>
      <c r="M21" s="22"/>
      <c r="N21" s="17"/>
      <c r="O21" s="17"/>
      <c r="P21" s="17"/>
      <c r="Q21" s="37"/>
      <c r="AY21" s="28"/>
      <c r="AZ21" s="28" t="n">
        <f aca="false">AZ10</f>
        <v>229.499999999999</v>
      </c>
      <c r="BA21" s="29" t="n">
        <f aca="false">BA10</f>
        <v>-397.505660337058</v>
      </c>
      <c r="BB21" s="30" t="n">
        <f aca="false">BB10</f>
        <v>0</v>
      </c>
      <c r="BE21" s="28" t="n">
        <f aca="false">(AZ21*_RMX1)+(BA21*_RMY1)+(BB21*_RMZ1)</f>
        <v>87.0904817259465</v>
      </c>
      <c r="BF21" s="30" t="n">
        <f aca="false">(AZ21*_RMX2)+(BA21*_RMY2)+(BB21*_RMZ2)</f>
        <v>1.48596427300569</v>
      </c>
    </row>
    <row r="22" customFormat="false" ht="13.2" hidden="false" customHeight="false" outlineLevel="0" collapsed="false">
      <c r="G22" s="22"/>
      <c r="H22" s="17"/>
      <c r="I22" s="17"/>
      <c r="J22" s="17"/>
      <c r="K22" s="17"/>
      <c r="L22" s="37"/>
      <c r="M22" s="22"/>
      <c r="N22" s="17"/>
      <c r="O22" s="17"/>
      <c r="P22" s="17"/>
      <c r="Q22" s="37"/>
      <c r="AY22" s="7" t="s">
        <v>43</v>
      </c>
      <c r="AZ22" s="7" t="n">
        <f aca="false">AZ5</f>
        <v>-130.40952255126</v>
      </c>
      <c r="BA22" s="8" t="n">
        <f aca="false">BA5</f>
        <v>-483.889355553579</v>
      </c>
      <c r="BB22" s="9" t="n">
        <f aca="false">BB5</f>
        <v>563.571134945667</v>
      </c>
      <c r="BE22" s="7" t="n">
        <f aca="false">(AZ22*_RMX1)+(BA22*_RMY1)+(BB22*_RMZ1)</f>
        <v>63.6115523838975</v>
      </c>
      <c r="BF22" s="9" t="n">
        <f aca="false">(AZ22*_RMX2)+(BA22*_RMY2)+(BB22*_RMZ2)</f>
        <v>124.312523592237</v>
      </c>
    </row>
    <row r="23" customFormat="false" ht="13.2" hidden="false" customHeight="false" outlineLevel="0" collapsed="false">
      <c r="G23" s="22"/>
      <c r="H23" s="17"/>
      <c r="I23" s="17"/>
      <c r="J23" s="17"/>
      <c r="K23" s="17"/>
      <c r="L23" s="37"/>
      <c r="M23" s="22"/>
      <c r="N23" s="17"/>
      <c r="O23" s="17"/>
      <c r="P23" s="17"/>
      <c r="Q23" s="37"/>
      <c r="AY23" s="28"/>
      <c r="AZ23" s="28" t="n">
        <f aca="false">AZ11</f>
        <v>-229.499999999999</v>
      </c>
      <c r="BA23" s="29" t="n">
        <f aca="false">BA11</f>
        <v>-397.505660337058</v>
      </c>
      <c r="BB23" s="30" t="n">
        <f aca="false">BB11</f>
        <v>0</v>
      </c>
      <c r="BE23" s="28" t="n">
        <f aca="false">(AZ23*_RMX1)+(BA23*_RMY1)+(BB23*_RMZ1)</f>
        <v>39.5925114822863</v>
      </c>
      <c r="BF23" s="30" t="n">
        <f aca="false">(AZ23*_RMX2)+(BA23*_RMY2)+(BB23*_RMZ2)</f>
        <v>25.2981689264032</v>
      </c>
    </row>
    <row r="24" customFormat="false" ht="13.2" hidden="false" customHeight="false" outlineLevel="0" collapsed="false">
      <c r="G24" s="22"/>
      <c r="H24" s="17"/>
      <c r="I24" s="17"/>
      <c r="J24" s="17"/>
      <c r="K24" s="17"/>
      <c r="L24" s="37"/>
      <c r="M24" s="22"/>
      <c r="N24" s="17"/>
      <c r="O24" s="17"/>
      <c r="P24" s="17"/>
      <c r="Q24" s="37"/>
      <c r="AY24" s="7" t="s">
        <v>44</v>
      </c>
      <c r="AZ24" s="7" t="n">
        <f aca="false">AZ6</f>
        <v>-483.962913144534</v>
      </c>
      <c r="BA24" s="8" t="n">
        <f aca="false">BA6</f>
        <v>128.389812854167</v>
      </c>
      <c r="BB24" s="9" t="n">
        <f aca="false">BB6</f>
        <v>574.258507584419</v>
      </c>
      <c r="BE24" s="7" t="n">
        <f aca="false">(AZ24*_RMX1)+(BA24*_RMY1)+(BB24*_RMZ1)</f>
        <v>-70.5397517399531</v>
      </c>
      <c r="BF24" s="9" t="n">
        <f aca="false">(AZ24*_RMX2)+(BA24*_RMY2)+(BB24*_RMZ2)</f>
        <v>123.946452659571</v>
      </c>
    </row>
    <row r="25" customFormat="false" ht="13.2" hidden="false" customHeight="false" outlineLevel="0" collapsed="false">
      <c r="G25" s="22"/>
      <c r="H25" s="17"/>
      <c r="I25" s="17"/>
      <c r="J25" s="17"/>
      <c r="K25" s="17"/>
      <c r="L25" s="37"/>
      <c r="M25" s="22"/>
      <c r="N25" s="17"/>
      <c r="O25" s="17"/>
      <c r="P25" s="17"/>
      <c r="Q25" s="37"/>
      <c r="AY25" s="28"/>
      <c r="AZ25" s="28" t="n">
        <f aca="false">AZ12</f>
        <v>-459</v>
      </c>
      <c r="BA25" s="29" t="n">
        <f aca="false">BA12</f>
        <v>0</v>
      </c>
      <c r="BB25" s="30" t="n">
        <f aca="false">BB12</f>
        <v>0</v>
      </c>
      <c r="BE25" s="28" t="n">
        <f aca="false">(AZ25*_RMX1)+(BA25*_RMY1)+(BB25*_RMZ1)</f>
        <v>-47.4979702436605</v>
      </c>
      <c r="BF25" s="30" t="n">
        <f aca="false">(AZ25*_RMX2)+(BA25*_RMY2)+(BB25*_RMZ2)</f>
        <v>23.8122046533976</v>
      </c>
    </row>
    <row r="26" customFormat="false" ht="13.2" hidden="false" customHeight="false" outlineLevel="0" collapsed="false">
      <c r="G26" s="22"/>
      <c r="H26" s="17"/>
      <c r="I26" s="17"/>
      <c r="J26" s="17"/>
      <c r="K26" s="17"/>
      <c r="L26" s="37"/>
      <c r="M26" s="22"/>
      <c r="N26" s="17"/>
      <c r="O26" s="17"/>
      <c r="P26" s="17"/>
      <c r="Q26" s="37"/>
      <c r="AY26" s="7" t="s">
        <v>45</v>
      </c>
      <c r="AZ26" s="7" t="n">
        <f aca="false">AZ7</f>
        <v>-354.553390593274</v>
      </c>
      <c r="BA26" s="8" t="n">
        <f aca="false">BA7</f>
        <v>352.499542699412</v>
      </c>
      <c r="BB26" s="9" t="n">
        <f aca="false">BB7</f>
        <v>578.170357469914</v>
      </c>
      <c r="BE26" s="16" t="n">
        <f aca="false">(AZ26*_RMX1)+(BA26*_RMY1)+(BB26*_RMZ1)</f>
        <v>-92.8595755561465</v>
      </c>
      <c r="BF26" s="18" t="n">
        <f aca="false">(AZ26*_RMX2)+(BA26*_RMY2)+(BB26*_RMZ2)</f>
        <v>110.385332705429</v>
      </c>
    </row>
    <row r="27" customFormat="false" ht="13.2" hidden="false" customHeight="false" outlineLevel="0" collapsed="false">
      <c r="G27" s="22"/>
      <c r="H27" s="17"/>
      <c r="I27" s="17"/>
      <c r="J27" s="17"/>
      <c r="K27" s="17"/>
      <c r="L27" s="37"/>
      <c r="M27" s="22"/>
      <c r="N27" s="17"/>
      <c r="O27" s="17"/>
      <c r="P27" s="17"/>
      <c r="Q27" s="37"/>
      <c r="AY27" s="28"/>
      <c r="AZ27" s="28" t="n">
        <f aca="false">AZ13</f>
        <v>-229.499999999999</v>
      </c>
      <c r="BA27" s="29" t="n">
        <f aca="false">BA13</f>
        <v>397.505660337058</v>
      </c>
      <c r="BB27" s="30" t="n">
        <f aca="false">BB13</f>
        <v>0</v>
      </c>
      <c r="BE27" s="28" t="n">
        <f aca="false">(AZ27*_RMX1)+(BA27*_RMY1)+(BB27*_RMZ1)</f>
        <v>-87.0904817259465</v>
      </c>
      <c r="BF27" s="30" t="n">
        <f aca="false">(AZ27*_RMX2)+(BA27*_RMY2)+(BB27*_RMZ2)</f>
        <v>-1.48596427300569</v>
      </c>
    </row>
    <row r="28" customFormat="false" ht="13.2" hidden="false" customHeight="false" outlineLevel="0" collapsed="false">
      <c r="G28" s="22"/>
      <c r="H28" s="17"/>
      <c r="I28" s="17"/>
      <c r="J28" s="17"/>
      <c r="K28" s="17"/>
      <c r="L28" s="37"/>
      <c r="M28" s="22"/>
      <c r="N28" s="17"/>
      <c r="O28" s="17"/>
      <c r="P28" s="17"/>
      <c r="Q28" s="37"/>
    </row>
    <row r="29" customFormat="false" ht="13.2" hidden="false" customHeight="false" outlineLevel="0" collapsed="false">
      <c r="G29" s="22"/>
      <c r="H29" s="17"/>
      <c r="I29" s="17"/>
      <c r="J29" s="17"/>
      <c r="K29" s="17"/>
      <c r="L29" s="37"/>
      <c r="M29" s="22"/>
      <c r="N29" s="17"/>
      <c r="O29" s="17"/>
      <c r="P29" s="17"/>
      <c r="Q29" s="37"/>
    </row>
    <row r="30" customFormat="false" ht="13.2" hidden="false" customHeight="false" outlineLevel="0" collapsed="false">
      <c r="G30" s="22"/>
      <c r="H30" s="17"/>
      <c r="I30" s="17"/>
      <c r="J30" s="17"/>
      <c r="K30" s="17"/>
      <c r="L30" s="37"/>
      <c r="M30" s="22"/>
      <c r="N30" s="17"/>
      <c r="O30" s="17"/>
      <c r="P30" s="17"/>
      <c r="Q30" s="37"/>
    </row>
    <row r="31" customFormat="false" ht="13.2" hidden="false" customHeight="false" outlineLevel="0" collapsed="false">
      <c r="G31" s="22"/>
      <c r="H31" s="17"/>
      <c r="I31" s="17"/>
      <c r="J31" s="17"/>
      <c r="K31" s="17"/>
      <c r="L31" s="37"/>
      <c r="M31" s="22"/>
      <c r="N31" s="17"/>
      <c r="O31" s="17"/>
      <c r="P31" s="17"/>
      <c r="Q31" s="37"/>
      <c r="AY31" s="1" t="s">
        <v>46</v>
      </c>
      <c r="AZ31" s="1" t="s">
        <v>28</v>
      </c>
      <c r="BA31" s="1" t="s">
        <v>29</v>
      </c>
      <c r="BB31" s="1" t="s">
        <v>30</v>
      </c>
      <c r="BD31" s="17"/>
    </row>
    <row r="32" customFormat="false" ht="13.2" hidden="false" customHeight="false" outlineLevel="0" collapsed="false">
      <c r="G32" s="22"/>
      <c r="H32" s="17"/>
      <c r="I32" s="17"/>
      <c r="J32" s="17"/>
      <c r="K32" s="17"/>
      <c r="L32" s="37"/>
      <c r="M32" s="22"/>
      <c r="N32" s="17"/>
      <c r="O32" s="17"/>
      <c r="P32" s="17"/>
      <c r="Q32" s="37"/>
      <c r="AY32" s="1" t="n">
        <v>1</v>
      </c>
      <c r="AZ32" s="39" t="n">
        <f aca="false">DATA!K39</f>
        <v>73.7244048510227</v>
      </c>
      <c r="BA32" s="39" t="n">
        <f aca="false">DATA!L39</f>
        <v>487.442742129494</v>
      </c>
      <c r="BB32" s="39" t="n">
        <f aca="false">DATA!M39</f>
        <v>6.72943345631085</v>
      </c>
      <c r="BD32" s="17"/>
    </row>
    <row r="33" customFormat="false" ht="13.2" hidden="false" customHeight="false" outlineLevel="0" collapsed="false">
      <c r="G33" s="22"/>
      <c r="H33" s="17"/>
      <c r="I33" s="17"/>
      <c r="J33" s="17"/>
      <c r="K33" s="17"/>
      <c r="L33" s="37"/>
      <c r="M33" s="22"/>
      <c r="N33" s="17"/>
      <c r="O33" s="17"/>
      <c r="P33" s="17"/>
      <c r="Q33" s="37"/>
      <c r="AY33" s="1" t="n">
        <v>2</v>
      </c>
      <c r="AZ33" s="39" t="n">
        <f aca="false">DATA!K40</f>
        <v>459</v>
      </c>
      <c r="BA33" s="39" t="n">
        <f aca="false">DATA!L40</f>
        <v>-179.982290857539</v>
      </c>
      <c r="BB33" s="39" t="n">
        <f aca="false">DATA!M40</f>
        <v>2.52487181306295</v>
      </c>
      <c r="BD33" s="17"/>
    </row>
    <row r="34" customFormat="false" ht="13.2" hidden="false" customHeight="false" outlineLevel="0" collapsed="false">
      <c r="G34" s="22"/>
      <c r="H34" s="17"/>
      <c r="I34" s="17"/>
      <c r="J34" s="17"/>
      <c r="K34" s="17"/>
      <c r="L34" s="37"/>
      <c r="M34" s="22"/>
      <c r="N34" s="17"/>
      <c r="O34" s="17"/>
      <c r="P34" s="17"/>
      <c r="Q34" s="37"/>
      <c r="AY34" s="1" t="n">
        <v>3</v>
      </c>
      <c r="AZ34" s="39" t="n">
        <f aca="false">DATA!K41</f>
        <v>385.270072963291</v>
      </c>
      <c r="BA34" s="39" t="n">
        <f aca="false">DATA!L41</f>
        <v>-307.571766780013</v>
      </c>
      <c r="BB34" s="39" t="n">
        <f aca="false">DATA!M41</f>
        <v>-6.89776475974557</v>
      </c>
      <c r="BD34" s="17"/>
    </row>
    <row r="35" customFormat="false" ht="13.8" hidden="false" customHeight="false" outlineLevel="0" collapsed="false">
      <c r="G35" s="31"/>
      <c r="H35" s="40"/>
      <c r="I35" s="40"/>
      <c r="J35" s="40"/>
      <c r="K35" s="40"/>
      <c r="L35" s="41"/>
      <c r="M35" s="31"/>
      <c r="N35" s="40"/>
      <c r="O35" s="40"/>
      <c r="P35" s="40"/>
      <c r="Q35" s="41"/>
      <c r="AY35" s="1" t="n">
        <v>4</v>
      </c>
      <c r="AZ35" s="39" t="n">
        <f aca="false">DATA!K42</f>
        <v>-385.237606324691</v>
      </c>
      <c r="BA35" s="39" t="n">
        <f aca="false">DATA!L42</f>
        <v>-307.590511402549</v>
      </c>
      <c r="BB35" s="39" t="n">
        <f aca="false">DATA!M42</f>
        <v>-7.81434375620875</v>
      </c>
      <c r="BD35" s="17"/>
    </row>
    <row r="36" customFormat="false" ht="13.2" hidden="false" customHeight="false" outlineLevel="0" collapsed="false">
      <c r="AY36" s="1" t="n">
        <v>5</v>
      </c>
      <c r="AZ36" s="39" t="n">
        <f aca="false">DATA!K43</f>
        <v>-459</v>
      </c>
      <c r="BA36" s="39" t="n">
        <f aca="false">DATA!L43</f>
        <v>-179.981104577417</v>
      </c>
      <c r="BB36" s="39" t="n">
        <f aca="false">DATA!M43</f>
        <v>2.60806347565945</v>
      </c>
      <c r="BD36" s="17"/>
    </row>
    <row r="37" customFormat="false" ht="13.2" hidden="false" customHeight="false" outlineLevel="0" collapsed="false">
      <c r="AY37" s="1" t="n">
        <v>6</v>
      </c>
      <c r="AZ37" s="39" t="n">
        <f aca="false">DATA!K44</f>
        <v>-73.7577040792884</v>
      </c>
      <c r="BA37" s="39" t="n">
        <f aca="false">DATA!L44</f>
        <v>487.423516811091</v>
      </c>
      <c r="BB37" s="39" t="n">
        <f aca="false">DATA!M44</f>
        <v>7.68871565744474</v>
      </c>
      <c r="BD37" s="17"/>
    </row>
    <row r="38" customFormat="false" ht="13.2" hidden="false" customHeight="false" outlineLevel="0" collapsed="false">
      <c r="BD38" s="17"/>
    </row>
    <row r="39" customFormat="false" ht="13.2" hidden="false" customHeight="false" outlineLevel="0" collapsed="false">
      <c r="BD39" s="17"/>
    </row>
    <row r="40" customFormat="false" ht="13.2" hidden="false" customHeight="false" outlineLevel="0" collapsed="false">
      <c r="AY40" s="7" t="s">
        <v>47</v>
      </c>
      <c r="AZ40" s="8" t="n">
        <f aca="false">AZ8</f>
        <v>229.499999999999</v>
      </c>
      <c r="BA40" s="8" t="n">
        <f aca="false">BA8</f>
        <v>397.505660337058</v>
      </c>
      <c r="BB40" s="8" t="n">
        <f aca="false">BB8</f>
        <v>0</v>
      </c>
      <c r="BC40" s="8"/>
      <c r="BD40" s="8"/>
      <c r="BE40" s="8" t="n">
        <f aca="false">(AZ40*_RMX1)+(BA40*_RMY1)+(BB40*_RMZ1)</f>
        <v>-39.5925114822863</v>
      </c>
      <c r="BF40" s="9" t="n">
        <f aca="false">(AZ40*_RMX2)+(BA40*_RMY2)+(BB40*_RMZ2)</f>
        <v>-25.2981689264032</v>
      </c>
    </row>
    <row r="41" customFormat="false" ht="13.2" hidden="false" customHeight="false" outlineLevel="0" collapsed="false">
      <c r="AY41" s="28"/>
      <c r="AZ41" s="42" t="n">
        <f aca="false">AZ32</f>
        <v>73.7244048510227</v>
      </c>
      <c r="BA41" s="42" t="n">
        <f aca="false">BA32</f>
        <v>487.442742129494</v>
      </c>
      <c r="BB41" s="42" t="n">
        <f aca="false">BB32</f>
        <v>6.72943345631085</v>
      </c>
      <c r="BC41" s="29"/>
      <c r="BD41" s="29"/>
      <c r="BE41" s="29" t="n">
        <f aca="false">(AZ41*_RMX1)+(BA41*_RMY1)+(BB41*_RMZ1)</f>
        <v>-70.0436316068251</v>
      </c>
      <c r="BF41" s="30" t="n">
        <f aca="false">(AZ41*_RMX2)+(BA41*_RMY2)+(BB41*_RMZ2)</f>
        <v>-19.0378441160403</v>
      </c>
    </row>
    <row r="42" customFormat="false" ht="13.2" hidden="false" customHeight="false" outlineLevel="0" collapsed="false">
      <c r="AY42" s="7" t="s">
        <v>48</v>
      </c>
      <c r="AZ42" s="8" t="n">
        <f aca="false">AZ9</f>
        <v>459</v>
      </c>
      <c r="BA42" s="8" t="n">
        <f aca="false">BA9</f>
        <v>0</v>
      </c>
      <c r="BB42" s="8" t="n">
        <f aca="false">BB9</f>
        <v>0</v>
      </c>
      <c r="BC42" s="8"/>
      <c r="BD42" s="8"/>
      <c r="BE42" s="8" t="n">
        <f aca="false">(AZ42*_RMX1)+(BA42*_RMY1)+(BB42*_RMZ1)</f>
        <v>47.4979702436605</v>
      </c>
      <c r="BF42" s="9" t="n">
        <f aca="false">(AZ42*_RMX2)+(BA42*_RMY2)+(BB42*_RMZ2)</f>
        <v>-23.8122046533976</v>
      </c>
    </row>
    <row r="43" customFormat="false" ht="13.2" hidden="false" customHeight="false" outlineLevel="0" collapsed="false">
      <c r="AY43" s="28"/>
      <c r="AZ43" s="42" t="n">
        <f aca="false">AZ33</f>
        <v>459</v>
      </c>
      <c r="BA43" s="42" t="n">
        <f aca="false">BA33</f>
        <v>-179.982290857539</v>
      </c>
      <c r="BB43" s="42" t="n">
        <f aca="false">BB33</f>
        <v>2.52487181306295</v>
      </c>
      <c r="BC43" s="29"/>
      <c r="BD43" s="29"/>
      <c r="BE43" s="29" t="n">
        <f aca="false">(AZ43*_RMX1)+(BA43*_RMY1)+(BB43*_RMZ1)</f>
        <v>76.1776817614465</v>
      </c>
      <c r="BF43" s="30" t="n">
        <f aca="false">(AZ43*_RMX2)+(BA43*_RMY2)+(BB43*_RMZ2)</f>
        <v>-17.2949660796026</v>
      </c>
    </row>
    <row r="44" customFormat="false" ht="13.2" hidden="false" customHeight="false" outlineLevel="0" collapsed="false">
      <c r="AY44" s="7" t="s">
        <v>49</v>
      </c>
      <c r="AZ44" s="8" t="n">
        <f aca="false">AZ10</f>
        <v>229.499999999999</v>
      </c>
      <c r="BA44" s="8" t="n">
        <f aca="false">BA10</f>
        <v>-397.505660337058</v>
      </c>
      <c r="BB44" s="8" t="n">
        <f aca="false">BB10</f>
        <v>0</v>
      </c>
      <c r="BC44" s="8"/>
      <c r="BD44" s="8"/>
      <c r="BE44" s="8" t="n">
        <f aca="false">(AZ44*_RMX1)+(BA44*_RMY1)+(BB44*_RMZ1)</f>
        <v>87.0904817259465</v>
      </c>
      <c r="BF44" s="9" t="n">
        <f aca="false">(AZ44*_RMX2)+(BA44*_RMY2)+(BB44*_RMZ2)</f>
        <v>1.48596427300569</v>
      </c>
    </row>
    <row r="45" customFormat="false" ht="13.2" hidden="false" customHeight="false" outlineLevel="0" collapsed="false">
      <c r="AY45" s="28"/>
      <c r="AZ45" s="42" t="n">
        <f aca="false">AZ34</f>
        <v>385.270072963291</v>
      </c>
      <c r="BA45" s="42" t="n">
        <f aca="false">BA34</f>
        <v>-307.571766780013</v>
      </c>
      <c r="BB45" s="42" t="n">
        <f aca="false">BB34</f>
        <v>-6.89776475974557</v>
      </c>
      <c r="BC45" s="29"/>
      <c r="BD45" s="29"/>
      <c r="BE45" s="29" t="n">
        <f aca="false">(AZ45*_RMX1)+(BA45*_RMY1)+(BB45*_RMZ1)</f>
        <v>88.8790567267709</v>
      </c>
      <c r="BF45" s="30" t="n">
        <f aca="false">(AZ45*_RMX2)+(BA45*_RMY2)+(BB45*_RMZ2)</f>
        <v>-10.8642133441012</v>
      </c>
    </row>
    <row r="46" customFormat="false" ht="13.2" hidden="false" customHeight="false" outlineLevel="0" collapsed="false">
      <c r="AY46" s="7" t="s">
        <v>50</v>
      </c>
      <c r="AZ46" s="8" t="n">
        <f aca="false">AZ11</f>
        <v>-229.499999999999</v>
      </c>
      <c r="BA46" s="8" t="n">
        <f aca="false">BA11</f>
        <v>-397.505660337058</v>
      </c>
      <c r="BB46" s="8" t="n">
        <f aca="false">BB11</f>
        <v>0</v>
      </c>
      <c r="BC46" s="8"/>
      <c r="BD46" s="8"/>
      <c r="BE46" s="8" t="n">
        <f aca="false">(AZ46*_RMX1)+(BA46*_RMY1)+(BB46*_RMZ1)</f>
        <v>39.5925114822863</v>
      </c>
      <c r="BF46" s="9" t="n">
        <f aca="false">(AZ46*_RMX2)+(BA46*_RMY2)+(BB46*_RMZ2)</f>
        <v>25.2981689264032</v>
      </c>
    </row>
    <row r="47" customFormat="false" ht="13.2" hidden="false" customHeight="false" outlineLevel="0" collapsed="false">
      <c r="AY47" s="28"/>
      <c r="AZ47" s="42" t="n">
        <f aca="false">AZ35</f>
        <v>-385.237606324691</v>
      </c>
      <c r="BA47" s="42" t="n">
        <f aca="false">BA35</f>
        <v>-307.590511402549</v>
      </c>
      <c r="BB47" s="42" t="n">
        <f aca="false">BB35</f>
        <v>-7.81434375620875</v>
      </c>
      <c r="BC47" s="29"/>
      <c r="BD47" s="29"/>
      <c r="BE47" s="29" t="n">
        <f aca="false">(AZ47*_RMX1)+(BA47*_RMY1)+(BB47*_RMZ1)</f>
        <v>9.14881743916002</v>
      </c>
      <c r="BF47" s="30" t="n">
        <f aca="false">(AZ47*_RMX2)+(BA47*_RMY2)+(BB47*_RMZ2)</f>
        <v>28.9444936716935</v>
      </c>
    </row>
    <row r="48" customFormat="false" ht="13.2" hidden="false" customHeight="false" outlineLevel="0" collapsed="false">
      <c r="AY48" s="7" t="s">
        <v>51</v>
      </c>
      <c r="AZ48" s="8" t="n">
        <f aca="false">AZ12</f>
        <v>-459</v>
      </c>
      <c r="BA48" s="8" t="n">
        <f aca="false">BA12</f>
        <v>0</v>
      </c>
      <c r="BB48" s="8" t="n">
        <f aca="false">BB12</f>
        <v>0</v>
      </c>
      <c r="BC48" s="8"/>
      <c r="BD48" s="8"/>
      <c r="BE48" s="8" t="n">
        <f aca="false">(AZ48*_RMX1)+(BA48*_RMY1)+(BB48*_RMZ1)</f>
        <v>-47.4979702436605</v>
      </c>
      <c r="BF48" s="9" t="n">
        <f aca="false">(AZ48*_RMX2)+(BA48*_RMY2)+(BB48*_RMZ2)</f>
        <v>23.8122046533976</v>
      </c>
    </row>
    <row r="49" customFormat="false" ht="13.2" hidden="false" customHeight="false" outlineLevel="0" collapsed="false">
      <c r="AY49" s="28"/>
      <c r="AZ49" s="42" t="n">
        <f aca="false">AZ36</f>
        <v>-459</v>
      </c>
      <c r="BA49" s="42" t="n">
        <f aca="false">BA36</f>
        <v>-179.981104577417</v>
      </c>
      <c r="BB49" s="42" t="n">
        <f aca="false">BB36</f>
        <v>2.60806347565945</v>
      </c>
      <c r="BC49" s="29"/>
      <c r="BD49" s="29"/>
      <c r="BE49" s="29" t="n">
        <f aca="false">(AZ49*_RMX1)+(BA49*_RMY1)+(BB49*_RMZ1)</f>
        <v>-18.8184477565369</v>
      </c>
      <c r="BF49" s="30" t="n">
        <f aca="false">(AZ49*_RMX2)+(BA49*_RMY2)+(BB49*_RMZ2)</f>
        <v>30.3443485209549</v>
      </c>
    </row>
    <row r="50" customFormat="false" ht="13.2" hidden="false" customHeight="false" outlineLevel="0" collapsed="false">
      <c r="AY50" s="7" t="s">
        <v>52</v>
      </c>
      <c r="AZ50" s="8" t="n">
        <f aca="false">AZ13</f>
        <v>-229.499999999999</v>
      </c>
      <c r="BA50" s="8" t="n">
        <f aca="false">BA13</f>
        <v>397.505660337058</v>
      </c>
      <c r="BB50" s="8" t="n">
        <f aca="false">BB13</f>
        <v>0</v>
      </c>
      <c r="BC50" s="8"/>
      <c r="BD50" s="8"/>
      <c r="BE50" s="8" t="n">
        <f aca="false">(AZ50*_RMX1)+(BA50*_RMY1)+(BB50*_RMZ1)</f>
        <v>-87.0904817259465</v>
      </c>
      <c r="BF50" s="9" t="n">
        <f aca="false">(AZ50*_RMX2)+(BA50*_RMY2)+(BB50*_RMZ2)</f>
        <v>-1.48596427300569</v>
      </c>
    </row>
    <row r="51" customFormat="false" ht="13.2" hidden="false" customHeight="false" outlineLevel="0" collapsed="false">
      <c r="AY51" s="28"/>
      <c r="AZ51" s="42" t="n">
        <f aca="false">AZ37</f>
        <v>-73.7577040792884</v>
      </c>
      <c r="BA51" s="42" t="n">
        <f aca="false">BA37</f>
        <v>487.423516811091</v>
      </c>
      <c r="BB51" s="42" t="n">
        <f aca="false">BB37</f>
        <v>7.68871565744474</v>
      </c>
      <c r="BC51" s="29"/>
      <c r="BD51" s="29"/>
      <c r="BE51" s="29" t="n">
        <f aca="false">(AZ51*_RMX1)+(BA51*_RMY1)+(BB51*_RMZ1)</f>
        <v>-85.3022256652305</v>
      </c>
      <c r="BF51" s="30" t="n">
        <f aca="false">(AZ51*_RMX2)+(BA51*_RMY2)+(BB51*_RMZ2)</f>
        <v>-11.2137208114931</v>
      </c>
    </row>
    <row r="54" customFormat="false" ht="13.2" hidden="false" customHeight="false" outlineLevel="0" collapsed="false">
      <c r="AY54" s="7" t="s">
        <v>53</v>
      </c>
      <c r="AZ54" s="8" t="n">
        <f aca="false">AZ16</f>
        <v>352.553390593274</v>
      </c>
      <c r="BA54" s="8" t="n">
        <f aca="false">BA16</f>
        <v>352.499542699412</v>
      </c>
      <c r="BB54" s="8" t="n">
        <f aca="false">BB16</f>
        <v>578.170357469914</v>
      </c>
      <c r="BC54" s="8"/>
      <c r="BD54" s="8"/>
      <c r="BE54" s="8" t="n">
        <f aca="false">(AZ54*_RMX1)+(BA54*_RMY1)+(BB54*_RMZ1)</f>
        <v>-19.6871641141221</v>
      </c>
      <c r="BF54" s="9" t="n">
        <f aca="false">(AZ54*_RMX2)+(BA54*_RMY2)+(BB54*_RMZ2)</f>
        <v>73.7017349158449</v>
      </c>
    </row>
    <row r="55" customFormat="false" ht="13.2" hidden="false" customHeight="false" outlineLevel="0" collapsed="false">
      <c r="AY55" s="28"/>
      <c r="AZ55" s="42" t="n">
        <f aca="false">AZ41</f>
        <v>73.7244048510227</v>
      </c>
      <c r="BA55" s="42" t="n">
        <f aca="false">BA41</f>
        <v>487.442742129494</v>
      </c>
      <c r="BB55" s="42" t="n">
        <f aca="false">BB41</f>
        <v>6.72943345631085</v>
      </c>
      <c r="BC55" s="29"/>
      <c r="BD55" s="29"/>
      <c r="BE55" s="29" t="n">
        <f aca="false">(AZ55*_RMX1)+(BA55*_RMY1)+(BB55*_RMZ1)</f>
        <v>-70.0436316068251</v>
      </c>
      <c r="BF55" s="30" t="n">
        <f aca="false">(AZ55*_RMX2)+(BA55*_RMY2)+(BB55*_RMZ2)</f>
        <v>-19.0378441160403</v>
      </c>
    </row>
    <row r="56" customFormat="false" ht="13.2" hidden="false" customHeight="false" outlineLevel="0" collapsed="false">
      <c r="AY56" s="7" t="s">
        <v>54</v>
      </c>
      <c r="AZ56" s="8" t="n">
        <f aca="false">AZ18</f>
        <v>481.962913144534</v>
      </c>
      <c r="BA56" s="8" t="n">
        <f aca="false">BA18</f>
        <v>128.389812854167</v>
      </c>
      <c r="BB56" s="8" t="n">
        <f aca="false">BB18</f>
        <v>574.258507584419</v>
      </c>
      <c r="BC56" s="8"/>
      <c r="BD56" s="8"/>
      <c r="BE56" s="8" t="n">
        <f aca="false">(AZ56*_RMX1)+(BA56*_RMY1)+(BB56*_RMZ1)</f>
        <v>29.4156211460194</v>
      </c>
      <c r="BF56" s="9" t="n">
        <f aca="false">(AZ56*_RMX2)+(BA56*_RMY2)+(BB56*_RMZ2)</f>
        <v>73.8357261767878</v>
      </c>
    </row>
    <row r="57" customFormat="false" ht="13.2" hidden="false" customHeight="false" outlineLevel="0" collapsed="false">
      <c r="AY57" s="28"/>
      <c r="AZ57" s="42" t="n">
        <f aca="false">AZ43</f>
        <v>459</v>
      </c>
      <c r="BA57" s="42" t="n">
        <f aca="false">BA43</f>
        <v>-179.982290857539</v>
      </c>
      <c r="BB57" s="42" t="n">
        <f aca="false">BB43</f>
        <v>2.52487181306295</v>
      </c>
      <c r="BC57" s="29"/>
      <c r="BD57" s="29"/>
      <c r="BE57" s="29" t="n">
        <f aca="false">(AZ57*_RMX1)+(BA57*_RMY1)+(BB57*_RMZ1)</f>
        <v>76.1776817614465</v>
      </c>
      <c r="BF57" s="30" t="n">
        <f aca="false">(AZ57*_RMX2)+(BA57*_RMY2)+(BB57*_RMZ2)</f>
        <v>-17.2949660796026</v>
      </c>
    </row>
    <row r="58" customFormat="false" ht="13.2" hidden="false" customHeight="false" outlineLevel="0" collapsed="false">
      <c r="AY58" s="7" t="s">
        <v>55</v>
      </c>
      <c r="AZ58" s="8" t="n">
        <f aca="false">AZ20</f>
        <v>128.40952255126</v>
      </c>
      <c r="BA58" s="8" t="n">
        <f aca="false">BA20</f>
        <v>-483.889355553579</v>
      </c>
      <c r="BB58" s="8" t="n">
        <f aca="false">BB20</f>
        <v>563.571134945667</v>
      </c>
      <c r="BC58" s="8"/>
      <c r="BD58" s="8"/>
      <c r="BE58" s="8" t="n">
        <f aca="false">(AZ58*_RMX1)+(BA58*_RMY1)+(BB58*_RMZ1)</f>
        <v>90.3945138278456</v>
      </c>
      <c r="BF58" s="9" t="n">
        <f aca="false">(AZ58*_RMX2)+(BA58*_RMY2)+(BB58*_RMZ2)</f>
        <v>110.885394899038</v>
      </c>
    </row>
    <row r="59" customFormat="false" ht="13.2" hidden="false" customHeight="false" outlineLevel="0" collapsed="false">
      <c r="AY59" s="28"/>
      <c r="AZ59" s="42" t="n">
        <f aca="false">AZ45</f>
        <v>385.270072963291</v>
      </c>
      <c r="BA59" s="42" t="n">
        <f aca="false">BA45</f>
        <v>-307.571766780013</v>
      </c>
      <c r="BB59" s="42" t="n">
        <f aca="false">BB45</f>
        <v>-6.89776475974557</v>
      </c>
      <c r="BC59" s="29"/>
      <c r="BD59" s="29"/>
      <c r="BE59" s="29" t="n">
        <f aca="false">(AZ59*_RMX1)+(BA59*_RMY1)+(BB59*_RMZ1)</f>
        <v>88.8790567267709</v>
      </c>
      <c r="BF59" s="30" t="n">
        <f aca="false">(AZ59*_RMX2)+(BA59*_RMY2)+(BB59*_RMZ2)</f>
        <v>-10.8642133441012</v>
      </c>
      <c r="BL59" s="17"/>
    </row>
    <row r="60" customFormat="false" ht="13.2" hidden="false" customHeight="false" outlineLevel="0" collapsed="false">
      <c r="AY60" s="7" t="s">
        <v>56</v>
      </c>
      <c r="AZ60" s="8" t="n">
        <f aca="false">AZ22</f>
        <v>-130.40952255126</v>
      </c>
      <c r="BA60" s="8" t="n">
        <f aca="false">BA22</f>
        <v>-483.889355553579</v>
      </c>
      <c r="BB60" s="8" t="n">
        <f aca="false">BB22</f>
        <v>563.571134945667</v>
      </c>
      <c r="BC60" s="8"/>
      <c r="BD60" s="8"/>
      <c r="BE60" s="8" t="n">
        <f aca="false">(AZ60*_RMX1)+(BA60*_RMY1)+(BB60*_RMZ1)</f>
        <v>63.6115523838975</v>
      </c>
      <c r="BF60" s="9" t="n">
        <f aca="false">(AZ60*_RMX2)+(BA60*_RMY2)+(BB60*_RMZ2)</f>
        <v>124.312523592237</v>
      </c>
      <c r="BL60" s="17"/>
    </row>
    <row r="61" customFormat="false" ht="13.2" hidden="false" customHeight="false" outlineLevel="0" collapsed="false">
      <c r="AY61" s="28"/>
      <c r="AZ61" s="42" t="n">
        <f aca="false">AZ47</f>
        <v>-385.237606324691</v>
      </c>
      <c r="BA61" s="42" t="n">
        <f aca="false">BA47</f>
        <v>-307.590511402549</v>
      </c>
      <c r="BB61" s="42" t="n">
        <f aca="false">BB47</f>
        <v>-7.81434375620875</v>
      </c>
      <c r="BC61" s="29"/>
      <c r="BD61" s="29"/>
      <c r="BE61" s="29" t="n">
        <f aca="false">(AZ61*_RMX1)+(BA61*_RMY1)+(BB61*_RMZ1)</f>
        <v>9.14881743916002</v>
      </c>
      <c r="BF61" s="30" t="n">
        <f aca="false">(AZ61*_RMX2)+(BA61*_RMY2)+(BB61*_RMZ2)</f>
        <v>28.9444936716935</v>
      </c>
      <c r="BL61" s="17"/>
    </row>
    <row r="62" customFormat="false" ht="13.2" hidden="false" customHeight="false" outlineLevel="0" collapsed="false">
      <c r="AY62" s="7" t="s">
        <v>57</v>
      </c>
      <c r="AZ62" s="8" t="n">
        <f aca="false">AZ24</f>
        <v>-483.962913144534</v>
      </c>
      <c r="BA62" s="8" t="n">
        <f aca="false">BA24</f>
        <v>128.389812854167</v>
      </c>
      <c r="BB62" s="8" t="n">
        <f aca="false">BB24</f>
        <v>574.258507584419</v>
      </c>
      <c r="BC62" s="8"/>
      <c r="BD62" s="8"/>
      <c r="BE62" s="8" t="n">
        <f aca="false">(AZ62*_RMX1)+(BA62*_RMY1)+(BB62*_RMZ1)</f>
        <v>-70.5397517399531</v>
      </c>
      <c r="BF62" s="9" t="n">
        <f aca="false">(AZ62*_RMX2)+(BA62*_RMY2)+(BB62*_RMZ2)</f>
        <v>123.946452659571</v>
      </c>
      <c r="BL62" s="17"/>
    </row>
    <row r="63" customFormat="false" ht="13.2" hidden="false" customHeight="false" outlineLevel="0" collapsed="false">
      <c r="AY63" s="28"/>
      <c r="AZ63" s="42" t="n">
        <f aca="false">AZ49</f>
        <v>-459</v>
      </c>
      <c r="BA63" s="42" t="n">
        <f aca="false">BA49</f>
        <v>-179.981104577417</v>
      </c>
      <c r="BB63" s="42" t="n">
        <f aca="false">BB49</f>
        <v>2.60806347565945</v>
      </c>
      <c r="BC63" s="29"/>
      <c r="BD63" s="29"/>
      <c r="BE63" s="29" t="n">
        <f aca="false">(AZ63*_RMX1)+(BA63*_RMY1)+(BB63*_RMZ1)</f>
        <v>-18.8184477565369</v>
      </c>
      <c r="BF63" s="30" t="n">
        <f aca="false">(AZ63*_RMX2)+(BA63*_RMY2)+(BB63*_RMZ2)</f>
        <v>30.3443485209549</v>
      </c>
      <c r="BL63" s="17"/>
    </row>
    <row r="64" customFormat="false" ht="13.2" hidden="false" customHeight="false" outlineLevel="0" collapsed="false">
      <c r="AY64" s="7" t="s">
        <v>58</v>
      </c>
      <c r="AZ64" s="8" t="n">
        <f aca="false">AZ26</f>
        <v>-354.553390593274</v>
      </c>
      <c r="BA64" s="8" t="n">
        <f aca="false">BA26</f>
        <v>352.499542699412</v>
      </c>
      <c r="BB64" s="8" t="n">
        <f aca="false">BB26</f>
        <v>578.170357469914</v>
      </c>
      <c r="BC64" s="8"/>
      <c r="BD64" s="8"/>
      <c r="BE64" s="8" t="n">
        <f aca="false">(AZ64*_RMX1)+(BA64*_RMY1)+(BB64*_RMZ1)</f>
        <v>-92.8595755561465</v>
      </c>
      <c r="BF64" s="9" t="n">
        <f aca="false">(AZ64*_RMX2)+(BA64*_RMY2)+(BB64*_RMZ2)</f>
        <v>110.385332705429</v>
      </c>
      <c r="BL64" s="17"/>
    </row>
    <row r="65" customFormat="false" ht="13.2" hidden="false" customHeight="false" outlineLevel="0" collapsed="false">
      <c r="AY65" s="28"/>
      <c r="AZ65" s="42" t="n">
        <f aca="false">AZ51</f>
        <v>-73.7577040792884</v>
      </c>
      <c r="BA65" s="42" t="n">
        <f aca="false">BA51</f>
        <v>487.423516811091</v>
      </c>
      <c r="BB65" s="42" t="n">
        <f aca="false">BB51</f>
        <v>7.68871565744474</v>
      </c>
      <c r="BC65" s="29"/>
      <c r="BD65" s="29"/>
      <c r="BE65" s="29" t="n">
        <f aca="false">(AZ65*_RMX1)+(BA65*_RMY1)+(BB65*_RMZ1)</f>
        <v>-85.3022256652305</v>
      </c>
      <c r="BF65" s="30" t="n">
        <f aca="false">(AZ65*_RMX2)+(BA65*_RMY2)+(BB65*_RMZ2)</f>
        <v>-11.2137208114931</v>
      </c>
      <c r="BL65" s="17"/>
    </row>
    <row r="66" customFormat="false" ht="13.2" hidden="false" customHeight="false" outlineLevel="0" collapsed="false">
      <c r="BL66" s="17"/>
    </row>
    <row r="67" customFormat="false" ht="13.2" hidden="false" customHeight="false" outlineLevel="0" collapsed="false">
      <c r="BL67" s="17"/>
    </row>
    <row r="68" customFormat="false" ht="13.2" hidden="false" customHeight="false" outlineLevel="0" collapsed="false">
      <c r="BL68" s="17"/>
    </row>
    <row r="69" customFormat="false" ht="13.2" hidden="false" customHeight="false" outlineLevel="0" collapsed="false">
      <c r="AY69" s="1" t="s">
        <v>59</v>
      </c>
      <c r="AZ69" s="1" t="n">
        <f aca="false">AZ2</f>
        <v>352.553390593274</v>
      </c>
      <c r="BA69" s="1" t="n">
        <f aca="false">BA2</f>
        <v>352.499542699412</v>
      </c>
      <c r="BB69" s="1" t="n">
        <f aca="false">BB2</f>
        <v>578.170357469914</v>
      </c>
      <c r="BE69" s="29" t="n">
        <f aca="false">(AZ69*_RMX1)+(BA69*_RMY1)+(BB69*_RMZ1)</f>
        <v>-19.6871641141221</v>
      </c>
      <c r="BF69" s="30" t="n">
        <f aca="false">(AZ69*_RMX2)+(BA69*_RMY2)+(BB69*_RMZ2)</f>
        <v>73.7017349158449</v>
      </c>
      <c r="BL69" s="17"/>
    </row>
    <row r="70" customFormat="false" ht="13.2" hidden="false" customHeight="false" outlineLevel="0" collapsed="false">
      <c r="AZ70" s="1" t="n">
        <f aca="false">AZ3</f>
        <v>481.962913144534</v>
      </c>
      <c r="BA70" s="1" t="n">
        <f aca="false">BA3</f>
        <v>128.389812854167</v>
      </c>
      <c r="BB70" s="1" t="n">
        <f aca="false">BB3</f>
        <v>574.258507584419</v>
      </c>
      <c r="BE70" s="29" t="n">
        <f aca="false">(AZ70*_RMX1)+(BA70*_RMY1)+(BB70*_RMZ1)</f>
        <v>29.4156211460194</v>
      </c>
      <c r="BF70" s="30" t="n">
        <f aca="false">(AZ70*_RMX2)+(BA70*_RMY2)+(BB70*_RMZ2)</f>
        <v>73.8357261767878</v>
      </c>
      <c r="BL70" s="17"/>
    </row>
    <row r="71" customFormat="false" ht="13.2" hidden="false" customHeight="false" outlineLevel="0" collapsed="false">
      <c r="AZ71" s="1" t="n">
        <f aca="false">AZ4</f>
        <v>128.40952255126</v>
      </c>
      <c r="BA71" s="1" t="n">
        <f aca="false">BA4</f>
        <v>-483.889355553579</v>
      </c>
      <c r="BB71" s="1" t="n">
        <f aca="false">BB4</f>
        <v>563.571134945667</v>
      </c>
      <c r="BE71" s="29" t="n">
        <f aca="false">(AZ71*_RMX1)+(BA71*_RMY1)+(BB71*_RMZ1)</f>
        <v>90.3945138278456</v>
      </c>
      <c r="BF71" s="30" t="n">
        <f aca="false">(AZ71*_RMX2)+(BA71*_RMY2)+(BB71*_RMZ2)</f>
        <v>110.885394899038</v>
      </c>
      <c r="BL71" s="17"/>
    </row>
    <row r="72" customFormat="false" ht="13.2" hidden="false" customHeight="false" outlineLevel="0" collapsed="false">
      <c r="AZ72" s="1" t="n">
        <f aca="false">AZ5</f>
        <v>-130.40952255126</v>
      </c>
      <c r="BA72" s="1" t="n">
        <f aca="false">BA5</f>
        <v>-483.889355553579</v>
      </c>
      <c r="BB72" s="1" t="n">
        <f aca="false">BB5</f>
        <v>563.571134945667</v>
      </c>
      <c r="BE72" s="29" t="n">
        <f aca="false">(AZ72*_RMX1)+(BA72*_RMY1)+(BB72*_RMZ1)</f>
        <v>63.6115523838975</v>
      </c>
      <c r="BF72" s="30" t="n">
        <f aca="false">(AZ72*_RMX2)+(BA72*_RMY2)+(BB72*_RMZ2)</f>
        <v>124.312523592237</v>
      </c>
      <c r="BL72" s="17"/>
    </row>
    <row r="73" customFormat="false" ht="13.2" hidden="false" customHeight="false" outlineLevel="0" collapsed="false">
      <c r="AZ73" s="1" t="n">
        <f aca="false">AZ6</f>
        <v>-483.962913144534</v>
      </c>
      <c r="BA73" s="1" t="n">
        <f aca="false">BA6</f>
        <v>128.389812854167</v>
      </c>
      <c r="BB73" s="1" t="n">
        <f aca="false">BB6</f>
        <v>574.258507584419</v>
      </c>
      <c r="BE73" s="29" t="n">
        <f aca="false">(AZ73*_RMX1)+(BA73*_RMY1)+(BB73*_RMZ1)</f>
        <v>-70.5397517399531</v>
      </c>
      <c r="BF73" s="30" t="n">
        <f aca="false">(AZ73*_RMX2)+(BA73*_RMY2)+(BB73*_RMZ2)</f>
        <v>123.946452659571</v>
      </c>
      <c r="BL73" s="17"/>
    </row>
    <row r="74" customFormat="false" ht="13.2" hidden="false" customHeight="false" outlineLevel="0" collapsed="false">
      <c r="AZ74" s="1" t="n">
        <f aca="false">AZ7</f>
        <v>-354.553390593274</v>
      </c>
      <c r="BA74" s="1" t="n">
        <f aca="false">BA7</f>
        <v>352.499542699412</v>
      </c>
      <c r="BB74" s="1" t="n">
        <f aca="false">BB7</f>
        <v>578.170357469914</v>
      </c>
      <c r="BE74" s="29" t="n">
        <f aca="false">(AZ74*_RMX1)+(BA74*_RMY1)+(BB74*_RMZ1)</f>
        <v>-92.8595755561465</v>
      </c>
      <c r="BF74" s="30" t="n">
        <f aca="false">(AZ74*_RMX2)+(BA74*_RMY2)+(BB74*_RMZ2)</f>
        <v>110.385332705429</v>
      </c>
      <c r="BL74" s="17"/>
    </row>
    <row r="75" customFormat="false" ht="13.2" hidden="false" customHeight="false" outlineLevel="0" collapsed="false">
      <c r="AZ75" s="1" t="n">
        <f aca="false">AZ69</f>
        <v>352.553390593274</v>
      </c>
      <c r="BA75" s="1" t="n">
        <f aca="false">BA69</f>
        <v>352.499542699412</v>
      </c>
      <c r="BB75" s="1" t="n">
        <f aca="false">BB69</f>
        <v>578.170357469914</v>
      </c>
      <c r="BE75" s="29" t="n">
        <f aca="false">(AZ75*_RMX1)+(BA75*_RMY1)+(BB75*_RMZ1)</f>
        <v>-19.6871641141221</v>
      </c>
      <c r="BF75" s="30" t="n">
        <f aca="false">(AZ75*_RMX2)+(BA75*_RMY2)+(BB75*_RMZ2)</f>
        <v>73.7017349158449</v>
      </c>
      <c r="BL75" s="17"/>
    </row>
    <row r="76" customFormat="false" ht="13.2" hidden="false" customHeight="false" outlineLevel="0" collapsed="false">
      <c r="BE76" s="29"/>
      <c r="BF76" s="30"/>
      <c r="BL76" s="17"/>
    </row>
    <row r="77" customFormat="false" ht="13.2" hidden="false" customHeight="false" outlineLevel="0" collapsed="false">
      <c r="AY77" s="1" t="s">
        <v>60</v>
      </c>
      <c r="AZ77" s="1" t="n">
        <f aca="false">AZ8</f>
        <v>229.499999999999</v>
      </c>
      <c r="BA77" s="1" t="n">
        <f aca="false">BA8</f>
        <v>397.505660337058</v>
      </c>
      <c r="BB77" s="1" t="n">
        <f aca="false">BB8</f>
        <v>0</v>
      </c>
      <c r="BE77" s="29" t="n">
        <f aca="false">(AZ77*_RMX1)+(BA77*_RMY1)+(BB77*_RMZ1)</f>
        <v>-39.5925114822863</v>
      </c>
      <c r="BF77" s="30" t="n">
        <f aca="false">(AZ77*_RMX2)+(BA77*_RMY2)+(BB77*_RMZ2)</f>
        <v>-25.2981689264032</v>
      </c>
      <c r="BL77" s="17"/>
    </row>
    <row r="78" customFormat="false" ht="13.2" hidden="false" customHeight="false" outlineLevel="0" collapsed="false">
      <c r="AZ78" s="1" t="n">
        <f aca="false">AZ9</f>
        <v>459</v>
      </c>
      <c r="BA78" s="1" t="n">
        <f aca="false">BA9</f>
        <v>0</v>
      </c>
      <c r="BB78" s="1" t="n">
        <f aca="false">BB9</f>
        <v>0</v>
      </c>
      <c r="BE78" s="29" t="n">
        <f aca="false">(AZ78*_RMX1)+(BA78*_RMY1)+(BB78*_RMZ1)</f>
        <v>47.4979702436605</v>
      </c>
      <c r="BF78" s="30" t="n">
        <f aca="false">(AZ78*_RMX2)+(BA78*_RMY2)+(BB78*_RMZ2)</f>
        <v>-23.8122046533976</v>
      </c>
      <c r="BJ78" s="17"/>
      <c r="BK78" s="17"/>
      <c r="BL78" s="17"/>
    </row>
    <row r="79" customFormat="false" ht="13.2" hidden="false" customHeight="false" outlineLevel="0" collapsed="false">
      <c r="AZ79" s="1" t="n">
        <f aca="false">AZ10</f>
        <v>229.499999999999</v>
      </c>
      <c r="BA79" s="1" t="n">
        <f aca="false">BA10</f>
        <v>-397.505660337058</v>
      </c>
      <c r="BB79" s="1" t="n">
        <f aca="false">BB10</f>
        <v>0</v>
      </c>
      <c r="BE79" s="29" t="n">
        <f aca="false">(AZ79*_RMX1)+(BA79*_RMY1)+(BB79*_RMZ1)</f>
        <v>87.0904817259465</v>
      </c>
      <c r="BF79" s="30" t="n">
        <f aca="false">(AZ79*_RMX2)+(BA79*_RMY2)+(BB79*_RMZ2)</f>
        <v>1.48596427300569</v>
      </c>
    </row>
    <row r="80" customFormat="false" ht="13.2" hidden="false" customHeight="false" outlineLevel="0" collapsed="false">
      <c r="AZ80" s="1" t="n">
        <f aca="false">AZ11</f>
        <v>-229.499999999999</v>
      </c>
      <c r="BA80" s="1" t="n">
        <f aca="false">BA11</f>
        <v>-397.505660337058</v>
      </c>
      <c r="BB80" s="1" t="n">
        <f aca="false">BB11</f>
        <v>0</v>
      </c>
      <c r="BE80" s="29" t="n">
        <f aca="false">(AZ80*_RMX1)+(BA80*_RMY1)+(BB80*_RMZ1)</f>
        <v>39.5925114822863</v>
      </c>
      <c r="BF80" s="30" t="n">
        <f aca="false">(AZ80*_RMX2)+(BA80*_RMY2)+(BB80*_RMZ2)</f>
        <v>25.2981689264032</v>
      </c>
    </row>
    <row r="81" customFormat="false" ht="13.2" hidden="false" customHeight="false" outlineLevel="0" collapsed="false">
      <c r="AZ81" s="1" t="n">
        <f aca="false">AZ12</f>
        <v>-459</v>
      </c>
      <c r="BA81" s="1" t="n">
        <f aca="false">BA12</f>
        <v>0</v>
      </c>
      <c r="BB81" s="1" t="n">
        <f aca="false">BB12</f>
        <v>0</v>
      </c>
      <c r="BE81" s="29" t="n">
        <f aca="false">(AZ81*_RMX1)+(BA81*_RMY1)+(BB81*_RMZ1)</f>
        <v>-47.4979702436605</v>
      </c>
      <c r="BF81" s="30" t="n">
        <f aca="false">(AZ81*_RMX2)+(BA81*_RMY2)+(BB81*_RMZ2)</f>
        <v>23.8122046533976</v>
      </c>
    </row>
    <row r="82" customFormat="false" ht="13.2" hidden="false" customHeight="false" outlineLevel="0" collapsed="false">
      <c r="AZ82" s="1" t="n">
        <f aca="false">AZ13</f>
        <v>-229.499999999999</v>
      </c>
      <c r="BA82" s="1" t="n">
        <f aca="false">BA13</f>
        <v>397.505660337058</v>
      </c>
      <c r="BB82" s="1" t="n">
        <f aca="false">BB13</f>
        <v>0</v>
      </c>
      <c r="BE82" s="29" t="n">
        <f aca="false">(AZ82*_RMX1)+(BA82*_RMY1)+(BB82*_RMZ1)</f>
        <v>-87.0904817259465</v>
      </c>
      <c r="BF82" s="30" t="n">
        <f aca="false">(AZ82*_RMX2)+(BA82*_RMY2)+(BB82*_RMZ2)</f>
        <v>-1.48596427300569</v>
      </c>
    </row>
    <row r="83" customFormat="false" ht="13.2" hidden="false" customHeight="false" outlineLevel="0" collapsed="false">
      <c r="AZ83" s="1" t="n">
        <f aca="false">AZ77</f>
        <v>229.499999999999</v>
      </c>
      <c r="BA83" s="1" t="n">
        <f aca="false">BA77</f>
        <v>397.505660337058</v>
      </c>
      <c r="BB83" s="1" t="n">
        <f aca="false">BB77</f>
        <v>0</v>
      </c>
      <c r="BE83" s="29" t="n">
        <f aca="false">(AZ83*_RMX1)+(BA83*_RMY1)+(BB83*_RMZ1)</f>
        <v>-39.5925114822863</v>
      </c>
      <c r="BF83" s="30" t="n">
        <f aca="false">(AZ83*_RMX2)+(BA83*_RMY2)+(BB83*_RMZ2)</f>
        <v>-25.2981689264032</v>
      </c>
    </row>
    <row r="88" customFormat="false" ht="13.2" hidden="false" customHeight="false" outlineLevel="0" collapsed="false">
      <c r="AY88" s="1" t="s">
        <v>61</v>
      </c>
      <c r="AZ88" s="1" t="s">
        <v>28</v>
      </c>
      <c r="BA88" s="1" t="s">
        <v>29</v>
      </c>
      <c r="BB88" s="1" t="s">
        <v>30</v>
      </c>
    </row>
    <row r="89" customFormat="false" ht="13.2" hidden="false" customHeight="false" outlineLevel="0" collapsed="false">
      <c r="AZ89" s="7" t="n">
        <f aca="false">-1*$H$8</f>
        <v>-38</v>
      </c>
      <c r="BA89" s="8" t="n">
        <v>0</v>
      </c>
      <c r="BB89" s="9" t="n">
        <v>0</v>
      </c>
      <c r="BC89" s="17"/>
      <c r="BE89" s="7" t="n">
        <f aca="false">(AZ89*_RMX1)+(BA89*_RMY1)+(BB89*_RMZ1)</f>
        <v>-3.9322938328085</v>
      </c>
      <c r="BF89" s="9" t="n">
        <f aca="false">(AZ89*_RMX2)+(BA89*_RMY2)+(BB89*_RMZ2)</f>
        <v>1.97138077740547</v>
      </c>
    </row>
    <row r="90" customFormat="false" ht="13.2" hidden="false" customHeight="false" outlineLevel="0" collapsed="false">
      <c r="AZ90" s="16" t="n">
        <f aca="false">1*$H$8</f>
        <v>38</v>
      </c>
      <c r="BA90" s="17" t="n">
        <v>0</v>
      </c>
      <c r="BB90" s="18" t="n">
        <v>0</v>
      </c>
      <c r="BC90" s="17"/>
      <c r="BE90" s="16" t="n">
        <f aca="false">(AZ90*_RMX1)+(BA90*_RMY1)+(BB90*_RMZ1)</f>
        <v>3.9322938328085</v>
      </c>
      <c r="BF90" s="18" t="n">
        <f aca="false">(AZ90*_RMX2)+(BA90*_RMY2)+(BB90*_RMZ2)</f>
        <v>-1.97138077740547</v>
      </c>
    </row>
    <row r="91" customFormat="false" ht="13.2" hidden="false" customHeight="false" outlineLevel="0" collapsed="false">
      <c r="AZ91" s="16"/>
      <c r="BA91" s="17"/>
      <c r="BB91" s="18"/>
      <c r="BC91" s="17"/>
      <c r="BE91" s="16" t="n">
        <f aca="false">(AZ91*_RMX1)+(BA91*_RMY1)+(BB91*_RMZ1)</f>
        <v>0</v>
      </c>
      <c r="BF91" s="18" t="n">
        <f aca="false">(AZ91*_RMX2)+(BA91*_RMY2)+(BB91*_RMZ2)</f>
        <v>0</v>
      </c>
    </row>
    <row r="92" customFormat="false" ht="13.2" hidden="false" customHeight="false" outlineLevel="0" collapsed="false">
      <c r="AZ92" s="16" t="n">
        <v>0</v>
      </c>
      <c r="BA92" s="17" t="n">
        <f aca="false">-1*$H$8</f>
        <v>-38</v>
      </c>
      <c r="BB92" s="18" t="n">
        <v>0</v>
      </c>
      <c r="BC92" s="17"/>
      <c r="BE92" s="16" t="n">
        <f aca="false">(AZ92*_RMX1)+(BA92*_RMY1)+(BB92*_RMZ1)</f>
        <v>6.05520150056596</v>
      </c>
      <c r="BF92" s="18" t="n">
        <f aca="false">(AZ92*_RMX2)+(BA92*_RMY2)+(BB92*_RMZ2)</f>
        <v>1.28022964593072</v>
      </c>
    </row>
    <row r="93" customFormat="false" ht="13.2" hidden="false" customHeight="false" outlineLevel="0" collapsed="false">
      <c r="AZ93" s="16" t="n">
        <v>0</v>
      </c>
      <c r="BA93" s="17" t="n">
        <f aca="false">1*$H$8</f>
        <v>38</v>
      </c>
      <c r="BB93" s="18" t="n">
        <v>0</v>
      </c>
      <c r="BC93" s="17"/>
      <c r="BE93" s="16" t="n">
        <f aca="false">(AZ93*_RMX1)+(BA93*_RMY1)+(BB93*_RMZ1)</f>
        <v>-6.05520150056596</v>
      </c>
      <c r="BF93" s="18" t="n">
        <f aca="false">(AZ93*_RMX2)+(BA93*_RMY2)+(BB93*_RMZ2)</f>
        <v>-1.28022964593072</v>
      </c>
    </row>
    <row r="94" customFormat="false" ht="13.2" hidden="false" customHeight="false" outlineLevel="0" collapsed="false">
      <c r="AZ94" s="16"/>
      <c r="BA94" s="17"/>
      <c r="BB94" s="18"/>
      <c r="BC94" s="17"/>
      <c r="BE94" s="16" t="n">
        <f aca="false">(AZ94*_RMX1)+(BA94*_RMY1)+(BB94*_RMZ1)</f>
        <v>0</v>
      </c>
      <c r="BF94" s="18" t="n">
        <f aca="false">(AZ94*_RMX2)+(BA94*_RMY2)+(BB94*_RMZ2)</f>
        <v>0</v>
      </c>
    </row>
    <row r="95" customFormat="false" ht="13.2" hidden="false" customHeight="false" outlineLevel="0" collapsed="false">
      <c r="AZ95" s="16" t="n">
        <v>0</v>
      </c>
      <c r="BA95" s="17" t="n">
        <v>0</v>
      </c>
      <c r="BB95" s="18" t="n">
        <f aca="false">-1*$H$8</f>
        <v>-38</v>
      </c>
      <c r="BC95" s="17"/>
      <c r="BE95" s="16" t="n">
        <f aca="false">(AZ95*_RMX1)+(BA95*_RMY1)+(BB95*_RMZ1)</f>
        <v>0</v>
      </c>
      <c r="BF95" s="18" t="n">
        <f aca="false">(AZ95*_RMX2)+(BA95*_RMY2)+(BB95*_RMZ2)</f>
        <v>-6.82664411582707</v>
      </c>
    </row>
    <row r="96" customFormat="false" ht="13.2" hidden="false" customHeight="false" outlineLevel="0" collapsed="false">
      <c r="AZ96" s="28" t="n">
        <v>0</v>
      </c>
      <c r="BA96" s="29" t="n">
        <v>0</v>
      </c>
      <c r="BB96" s="30" t="n">
        <f aca="false">1*$H$8</f>
        <v>38</v>
      </c>
      <c r="BC96" s="17"/>
      <c r="BE96" s="28" t="n">
        <f aca="false">(AZ96*_RMX1)+(BA96*_RMY1)+(BB96*_RMZ1)</f>
        <v>0</v>
      </c>
      <c r="BF96" s="30" t="n">
        <f aca="false">(AZ96*_RMX2)+(BA96*_RMY2)+(BB96*_RMZ2)</f>
        <v>6.82664411582707</v>
      </c>
    </row>
    <row r="100" customFormat="false" ht="13.2" hidden="false" customHeight="false" outlineLevel="0" collapsed="false">
      <c r="AY100" s="4" t="s">
        <v>62</v>
      </c>
      <c r="AZ100" s="4" t="s">
        <v>28</v>
      </c>
      <c r="BA100" s="4" t="s">
        <v>29</v>
      </c>
      <c r="BB100" s="4" t="s">
        <v>30</v>
      </c>
      <c r="BC100" s="4"/>
    </row>
    <row r="101" customFormat="false" ht="13.2" hidden="false" customHeight="false" outlineLevel="0" collapsed="false">
      <c r="AY101" s="17"/>
      <c r="AZ101" s="7" t="n">
        <f aca="false">-1*$H$8</f>
        <v>-38</v>
      </c>
      <c r="BA101" s="8" t="n">
        <f aca="false">-1*$H$8</f>
        <v>-38</v>
      </c>
      <c r="BB101" s="9" t="n">
        <f aca="false">-1*$H$8</f>
        <v>-38</v>
      </c>
      <c r="BC101" s="17"/>
      <c r="BE101" s="7" t="n">
        <f aca="false">(AZ101*_RMX1)+(BA101*_RMY1)+(BB101*_RMZ1)</f>
        <v>2.12290766775746</v>
      </c>
      <c r="BF101" s="9" t="n">
        <f aca="false">(AZ101*_RMX2)+(BA101*_RMY2)+(BB101*_RMZ2)</f>
        <v>-3.57503369249088</v>
      </c>
    </row>
    <row r="102" customFormat="false" ht="13.2" hidden="false" customHeight="false" outlineLevel="0" collapsed="false">
      <c r="AY102" s="17"/>
      <c r="AZ102" s="16" t="n">
        <f aca="false">1*$H$8</f>
        <v>38</v>
      </c>
      <c r="BA102" s="17" t="n">
        <f aca="false">-1*$H$8</f>
        <v>-38</v>
      </c>
      <c r="BB102" s="18" t="n">
        <f aca="false">-1*$H$8</f>
        <v>-38</v>
      </c>
      <c r="BC102" s="17"/>
      <c r="BE102" s="16" t="n">
        <f aca="false">(AZ102*_RMX1)+(BA102*_RMY1)+(BB102*_RMZ1)</f>
        <v>9.98749533337446</v>
      </c>
      <c r="BF102" s="18" t="n">
        <f aca="false">(AZ102*_RMX2)+(BA102*_RMY2)+(BB102*_RMZ2)</f>
        <v>-7.51779524730181</v>
      </c>
    </row>
    <row r="103" customFormat="false" ht="13.2" hidden="false" customHeight="false" outlineLevel="0" collapsed="false">
      <c r="AY103" s="17"/>
      <c r="AZ103" s="16" t="n">
        <f aca="false">1*$H$8</f>
        <v>38</v>
      </c>
      <c r="BA103" s="17" t="n">
        <f aca="false">1*$H$8</f>
        <v>38</v>
      </c>
      <c r="BB103" s="18" t="n">
        <f aca="false">-1*$H$8</f>
        <v>-38</v>
      </c>
      <c r="BC103" s="17"/>
      <c r="BE103" s="16" t="n">
        <f aca="false">(AZ103*_RMX1)+(BA103*_RMY1)+(BB103*_RMZ1)</f>
        <v>-2.12290766775746</v>
      </c>
      <c r="BF103" s="18" t="n">
        <f aca="false">(AZ103*_RMX2)+(BA103*_RMY2)+(BB103*_RMZ2)</f>
        <v>-10.0782545391633</v>
      </c>
    </row>
    <row r="104" customFormat="false" ht="13.2" hidden="false" customHeight="false" outlineLevel="0" collapsed="false">
      <c r="AY104" s="17"/>
      <c r="AZ104" s="16" t="n">
        <f aca="false">-1*$H$8</f>
        <v>-38</v>
      </c>
      <c r="BA104" s="4" t="n">
        <f aca="false">1*$H$8</f>
        <v>38</v>
      </c>
      <c r="BB104" s="18" t="n">
        <f aca="false">-1*$H$8</f>
        <v>-38</v>
      </c>
      <c r="BC104" s="17"/>
      <c r="BE104" s="16" t="n">
        <f aca="false">(AZ104*_RMX1)+(BA104*_RMY1)+(BB104*_RMZ1)</f>
        <v>-9.98749533337446</v>
      </c>
      <c r="BF104" s="18" t="n">
        <f aca="false">(AZ104*_RMX2)+(BA104*_RMY2)+(BB104*_RMZ2)</f>
        <v>-6.13549298435232</v>
      </c>
    </row>
    <row r="105" customFormat="false" ht="13.2" hidden="false" customHeight="false" outlineLevel="0" collapsed="false">
      <c r="AY105" s="17"/>
      <c r="AZ105" s="16" t="n">
        <f aca="false">-1*$H$8</f>
        <v>-38</v>
      </c>
      <c r="BA105" s="4" t="n">
        <f aca="false">-1*$H$8</f>
        <v>-38</v>
      </c>
      <c r="BB105" s="18" t="n">
        <f aca="false">-1*$H$8</f>
        <v>-38</v>
      </c>
      <c r="BC105" s="17"/>
      <c r="BE105" s="16" t="n">
        <f aca="false">(AZ105*_RMX1)+(BA105*_RMY1)+(BB105*_RMZ1)</f>
        <v>2.12290766775746</v>
      </c>
      <c r="BF105" s="18" t="n">
        <f aca="false">(AZ105*_RMX2)+(BA105*_RMY2)+(BB105*_RMZ2)</f>
        <v>-3.57503369249088</v>
      </c>
    </row>
    <row r="106" customFormat="false" ht="13.2" hidden="false" customHeight="false" outlineLevel="0" collapsed="false">
      <c r="AY106" s="17"/>
      <c r="AZ106" s="16" t="n">
        <f aca="false">-1*$H$8</f>
        <v>-38</v>
      </c>
      <c r="BA106" s="4" t="n">
        <f aca="false">-1*$H$8</f>
        <v>-38</v>
      </c>
      <c r="BB106" s="18" t="n">
        <f aca="false">1*$H$8</f>
        <v>38</v>
      </c>
      <c r="BC106" s="17"/>
      <c r="BE106" s="16" t="n">
        <f aca="false">(AZ106*_RMX1)+(BA106*_RMY1)+(BB106*_RMZ1)</f>
        <v>2.12290766775746</v>
      </c>
      <c r="BF106" s="18" t="n">
        <f aca="false">(AZ106*_RMX2)+(BA106*_RMY2)+(BB106*_RMZ2)</f>
        <v>10.0782545391633</v>
      </c>
    </row>
    <row r="107" customFormat="false" ht="13.2" hidden="false" customHeight="false" outlineLevel="0" collapsed="false">
      <c r="AY107" s="17"/>
      <c r="AZ107" s="16" t="n">
        <f aca="false">1*$H$8</f>
        <v>38</v>
      </c>
      <c r="BA107" s="4" t="n">
        <f aca="false">-1*$H$8</f>
        <v>-38</v>
      </c>
      <c r="BB107" s="18" t="n">
        <f aca="false">1*$H$8</f>
        <v>38</v>
      </c>
      <c r="BC107" s="17"/>
      <c r="BE107" s="16" t="n">
        <f aca="false">(AZ107*_RMX1)+(BA107*_RMY1)+(BB107*_RMZ1)</f>
        <v>9.98749533337446</v>
      </c>
      <c r="BF107" s="18" t="n">
        <f aca="false">(AZ107*_RMX2)+(BA107*_RMY2)+(BB107*_RMZ2)</f>
        <v>6.13549298435232</v>
      </c>
    </row>
    <row r="108" customFormat="false" ht="13.2" hidden="false" customHeight="false" outlineLevel="0" collapsed="false">
      <c r="AY108" s="17"/>
      <c r="AZ108" s="16" t="n">
        <f aca="false">1*$H$8</f>
        <v>38</v>
      </c>
      <c r="BA108" s="4" t="n">
        <f aca="false">1*$H$8</f>
        <v>38</v>
      </c>
      <c r="BB108" s="18" t="n">
        <f aca="false">1*$H$8</f>
        <v>38</v>
      </c>
      <c r="BC108" s="17"/>
      <c r="BE108" s="16" t="n">
        <f aca="false">(AZ108*_RMX1)+(BA108*_RMY1)+(BB108*_RMZ1)</f>
        <v>-2.12290766775746</v>
      </c>
      <c r="BF108" s="18" t="n">
        <f aca="false">(AZ108*_RMX2)+(BA108*_RMY2)+(BB108*_RMZ2)</f>
        <v>3.57503369249088</v>
      </c>
    </row>
    <row r="109" customFormat="false" ht="13.2" hidden="false" customHeight="false" outlineLevel="0" collapsed="false">
      <c r="AY109" s="17"/>
      <c r="AZ109" s="16" t="n">
        <f aca="false">-1*$H$8</f>
        <v>-38</v>
      </c>
      <c r="BA109" s="4" t="n">
        <f aca="false">1*$H$8</f>
        <v>38</v>
      </c>
      <c r="BB109" s="18" t="n">
        <f aca="false">1*$H$8</f>
        <v>38</v>
      </c>
      <c r="BC109" s="17"/>
      <c r="BE109" s="16" t="n">
        <f aca="false">(AZ109*_RMX1)+(BA109*_RMY1)+(BB109*_RMZ1)</f>
        <v>-9.98749533337446</v>
      </c>
      <c r="BF109" s="18" t="n">
        <f aca="false">(AZ109*_RMX2)+(BA109*_RMY2)+(BB109*_RMZ2)</f>
        <v>7.51779524730181</v>
      </c>
    </row>
    <row r="110" customFormat="false" ht="13.2" hidden="false" customHeight="false" outlineLevel="0" collapsed="false">
      <c r="AY110" s="17"/>
      <c r="AZ110" s="16" t="n">
        <f aca="false">-1*$H$8</f>
        <v>-38</v>
      </c>
      <c r="BA110" s="4" t="n">
        <f aca="false">-1*$H$8</f>
        <v>-38</v>
      </c>
      <c r="BB110" s="18" t="n">
        <f aca="false">1*$H$8</f>
        <v>38</v>
      </c>
      <c r="BC110" s="17"/>
      <c r="BE110" s="16" t="n">
        <f aca="false">(AZ110*_RMX1)+(BA110*_RMY1)+(BB110*_RMZ1)</f>
        <v>2.12290766775746</v>
      </c>
      <c r="BF110" s="18" t="n">
        <f aca="false">(AZ110*_RMX2)+(BA110*_RMY2)+(BB110*_RMZ2)</f>
        <v>10.0782545391633</v>
      </c>
    </row>
    <row r="111" customFormat="false" ht="13.2" hidden="false" customHeight="false" outlineLevel="0" collapsed="false">
      <c r="AZ111" s="16"/>
      <c r="BA111" s="17"/>
      <c r="BB111" s="18"/>
      <c r="BC111" s="17"/>
      <c r="BE111" s="16"/>
      <c r="BF111" s="18"/>
    </row>
    <row r="112" customFormat="false" ht="13.2" hidden="false" customHeight="false" outlineLevel="0" collapsed="false">
      <c r="AZ112" s="16" t="n">
        <f aca="false">-1*$H$8</f>
        <v>-38</v>
      </c>
      <c r="BA112" s="17" t="n">
        <f aca="false">1*$H$8</f>
        <v>38</v>
      </c>
      <c r="BB112" s="18" t="n">
        <f aca="false">1*$H$8</f>
        <v>38</v>
      </c>
      <c r="BC112" s="17"/>
      <c r="BE112" s="16" t="n">
        <f aca="false">(AZ112*_RMX1)+(BA112*_RMY1)+(BB112*_RMZ1)</f>
        <v>-9.98749533337446</v>
      </c>
      <c r="BF112" s="18" t="n">
        <f aca="false">(AZ112*_RMX2)+(BA112*_RMY2)+(BB112*_RMZ2)</f>
        <v>7.51779524730181</v>
      </c>
    </row>
    <row r="113" customFormat="false" ht="13.2" hidden="false" customHeight="false" outlineLevel="0" collapsed="false">
      <c r="AZ113" s="16" t="n">
        <f aca="false">-1*$H$8</f>
        <v>-38</v>
      </c>
      <c r="BA113" s="17" t="n">
        <f aca="false">1*$H$8</f>
        <v>38</v>
      </c>
      <c r="BB113" s="18" t="n">
        <f aca="false">-1*$H$8</f>
        <v>-38</v>
      </c>
      <c r="BC113" s="17"/>
      <c r="BE113" s="16" t="n">
        <f aca="false">(AZ113*_RMX1)+(BA113*_RMY1)+(BB113*_RMZ1)</f>
        <v>-9.98749533337446</v>
      </c>
      <c r="BF113" s="18" t="n">
        <f aca="false">(AZ113*_RMX2)+(BA113*_RMY2)+(BB113*_RMZ2)</f>
        <v>-6.13549298435232</v>
      </c>
    </row>
    <row r="114" customFormat="false" ht="13.2" hidden="false" customHeight="false" outlineLevel="0" collapsed="false">
      <c r="AZ114" s="16"/>
      <c r="BA114" s="17"/>
      <c r="BB114" s="18"/>
      <c r="BC114" s="17"/>
      <c r="BE114" s="16"/>
      <c r="BF114" s="18"/>
    </row>
    <row r="115" customFormat="false" ht="13.2" hidden="false" customHeight="false" outlineLevel="0" collapsed="false">
      <c r="AZ115" s="16" t="n">
        <f aca="false">1*$H$8</f>
        <v>38</v>
      </c>
      <c r="BA115" s="17" t="n">
        <f aca="false">1*$H$8</f>
        <v>38</v>
      </c>
      <c r="BB115" s="18" t="n">
        <f aca="false">-1*$H$8</f>
        <v>-38</v>
      </c>
      <c r="BC115" s="17"/>
      <c r="BE115" s="16" t="n">
        <f aca="false">(AZ115*_RMX1)+(BA115*_RMY1)+(BB115*_RMZ1)</f>
        <v>-2.12290766775746</v>
      </c>
      <c r="BF115" s="18" t="n">
        <f aca="false">(AZ115*_RMX2)+(BA115*_RMY2)+(BB115*_RMZ2)</f>
        <v>-10.0782545391633</v>
      </c>
    </row>
    <row r="116" customFormat="false" ht="13.2" hidden="false" customHeight="false" outlineLevel="0" collapsed="false">
      <c r="AZ116" s="16" t="n">
        <f aca="false">1*$H$8</f>
        <v>38</v>
      </c>
      <c r="BA116" s="17" t="n">
        <f aca="false">1*$H$8</f>
        <v>38</v>
      </c>
      <c r="BB116" s="18" t="n">
        <f aca="false">1*$H$8</f>
        <v>38</v>
      </c>
      <c r="BC116" s="17"/>
      <c r="BE116" s="16" t="n">
        <f aca="false">(AZ116*_RMX1)+(BA116*_RMY1)+(BB116*_RMZ1)</f>
        <v>-2.12290766775746</v>
      </c>
      <c r="BF116" s="18" t="n">
        <f aca="false">(AZ116*_RMX2)+(BA116*_RMY2)+(BB116*_RMZ2)</f>
        <v>3.57503369249088</v>
      </c>
    </row>
    <row r="117" customFormat="false" ht="13.2" hidden="false" customHeight="false" outlineLevel="0" collapsed="false">
      <c r="AZ117" s="16"/>
      <c r="BA117" s="17"/>
      <c r="BB117" s="18"/>
      <c r="BC117" s="17"/>
      <c r="BE117" s="16"/>
      <c r="BF117" s="18"/>
    </row>
    <row r="118" customFormat="false" ht="13.2" hidden="false" customHeight="false" outlineLevel="0" collapsed="false">
      <c r="AZ118" s="16" t="n">
        <f aca="false">1*$H$8</f>
        <v>38</v>
      </c>
      <c r="BA118" s="17" t="n">
        <f aca="false">-1*$H$8</f>
        <v>-38</v>
      </c>
      <c r="BB118" s="18" t="n">
        <f aca="false">1*$H$8</f>
        <v>38</v>
      </c>
      <c r="BC118" s="17"/>
      <c r="BE118" s="16" t="n">
        <f aca="false">(AZ118*_RMX1)+(BA118*_RMY1)+(BB118*_RMZ1)</f>
        <v>9.98749533337446</v>
      </c>
      <c r="BF118" s="18" t="n">
        <f aca="false">(AZ118*_RMX2)+(BA118*_RMY2)+(BB118*_RMZ2)</f>
        <v>6.13549298435232</v>
      </c>
    </row>
    <row r="119" customFormat="false" ht="13.2" hidden="false" customHeight="false" outlineLevel="0" collapsed="false">
      <c r="AZ119" s="28" t="n">
        <f aca="false">1*$H$8</f>
        <v>38</v>
      </c>
      <c r="BA119" s="29" t="n">
        <f aca="false">-1*$H$8</f>
        <v>-38</v>
      </c>
      <c r="BB119" s="30" t="n">
        <f aca="false">-1*$H$8</f>
        <v>-38</v>
      </c>
      <c r="BC119" s="17"/>
      <c r="BE119" s="28" t="n">
        <f aca="false">(AZ119*_RMX1)+(BA119*_RMY1)+(BB119*_RMZ1)</f>
        <v>9.98749533337446</v>
      </c>
      <c r="BF119" s="30" t="n">
        <f aca="false">(AZ119*_RMX2)+(BA119*_RMY2)+(BB119*_RMZ2)</f>
        <v>-7.51779524730181</v>
      </c>
    </row>
  </sheetData>
  <conditionalFormatting sqref="N4:N9">
    <cfRule type="containsText" priority="2" operator="containsText" aboveAverage="0" equalAverage="0" bottom="0" percent="0" rank="0" text="TRUE" dxfId="0">
      <formula>NOT(ISERROR(SEARCH("TRUE",N4)))</formula>
    </cfRule>
  </conditionalFormatting>
  <hyperlinks>
    <hyperlink ref="M1" r:id="rId1" display="dmwaters1982@gmail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58"/>
  <sheetViews>
    <sheetView showFormulas="false" showGridLines="true" showRowColHeaders="true" showZeros="true" rightToLeft="false" tabSelected="true" showOutlineSymbols="true" defaultGridColor="true" view="normal" topLeftCell="L1" colorId="64" zoomScale="70" zoomScaleNormal="70" zoomScalePageLayoutView="100" workbookViewId="0">
      <selection pane="topLeft" activeCell="R7" activeCellId="0" sqref="R7"/>
    </sheetView>
  </sheetViews>
  <sheetFormatPr defaultColWidth="8.6953125" defaultRowHeight="13.2" zeroHeight="false" outlineLevelRow="0" outlineLevelCol="0"/>
  <cols>
    <col collapsed="false" customWidth="true" hidden="false" outlineLevel="0" max="6" min="6" style="0" width="17.89"/>
    <col collapsed="false" customWidth="true" hidden="false" outlineLevel="0" max="10" min="10" style="0" width="17.89"/>
    <col collapsed="false" customWidth="true" hidden="false" outlineLevel="0" max="14" min="11" style="0" width="10.65"/>
    <col collapsed="false" customWidth="true" hidden="false" outlineLevel="0" max="15" min="15" style="0" width="20.11"/>
    <col collapsed="false" customWidth="true" hidden="false" outlineLevel="0" max="16" min="16" style="0" width="50"/>
    <col collapsed="false" customWidth="true" hidden="false" outlineLevel="0" max="17" min="17" style="0" width="12.44"/>
    <col collapsed="false" customWidth="true" hidden="false" outlineLevel="0" max="21" min="19" style="0" width="11.45"/>
    <col collapsed="false" customWidth="true" hidden="false" outlineLevel="0" max="22" min="22" style="0" width="12.89"/>
    <col collapsed="false" customWidth="true" hidden="false" outlineLevel="0" max="23" min="23" style="0" width="11.45"/>
  </cols>
  <sheetData>
    <row r="1" customFormat="false" ht="13.8" hidden="false" customHeight="false" outlineLevel="0" collapsed="false"/>
    <row r="2" customFormat="false" ht="13.2" hidden="false" customHeight="false" outlineLevel="0" collapsed="false">
      <c r="A2" s="33" t="s">
        <v>63</v>
      </c>
      <c r="B2" s="34"/>
      <c r="C2" s="34"/>
      <c r="D2" s="34"/>
      <c r="E2" s="34"/>
      <c r="F2" s="34"/>
      <c r="G2" s="34"/>
      <c r="H2" s="35"/>
      <c r="J2" s="33" t="s">
        <v>64</v>
      </c>
      <c r="K2" s="34" t="s">
        <v>28</v>
      </c>
      <c r="L2" s="34" t="s">
        <v>29</v>
      </c>
      <c r="M2" s="34" t="s">
        <v>30</v>
      </c>
      <c r="N2" s="35" t="s">
        <v>65</v>
      </c>
      <c r="P2" s="33" t="s">
        <v>66</v>
      </c>
      <c r="Q2" s="34" t="s">
        <v>67</v>
      </c>
      <c r="R2" s="43" t="n">
        <v>15</v>
      </c>
      <c r="S2" s="34"/>
      <c r="T2" s="34"/>
      <c r="U2" s="34"/>
      <c r="V2" s="34"/>
      <c r="W2" s="35"/>
    </row>
    <row r="3" customFormat="false" ht="13.2" hidden="false" customHeight="false" outlineLevel="0" collapsed="false">
      <c r="A3" s="44"/>
      <c r="B3" s="45"/>
      <c r="C3" s="45"/>
      <c r="E3" s="45"/>
      <c r="F3" s="45"/>
      <c r="G3" s="45"/>
      <c r="H3" s="46"/>
      <c r="J3" s="44" t="n">
        <v>1</v>
      </c>
      <c r="K3" s="47" t="n">
        <f aca="false">G30</f>
        <v>229.499999999999</v>
      </c>
      <c r="L3" s="48" t="n">
        <f aca="false">G36</f>
        <v>397.505660337058</v>
      </c>
      <c r="M3" s="48" t="n">
        <v>0</v>
      </c>
      <c r="N3" s="46"/>
      <c r="P3" s="44" t="s">
        <v>68</v>
      </c>
      <c r="Q3" s="45" t="s">
        <v>69</v>
      </c>
      <c r="R3" s="49" t="n">
        <v>150</v>
      </c>
      <c r="S3" s="50" t="n">
        <v>-90</v>
      </c>
      <c r="T3" s="50" t="n">
        <v>30</v>
      </c>
      <c r="U3" s="50" t="n">
        <v>150</v>
      </c>
      <c r="V3" s="50" t="n">
        <v>-90</v>
      </c>
      <c r="W3" s="51" t="n">
        <v>30</v>
      </c>
    </row>
    <row r="4" customFormat="false" ht="13.2" hidden="false" customHeight="false" outlineLevel="0" collapsed="false">
      <c r="A4" s="44"/>
      <c r="B4" s="45"/>
      <c r="C4" s="45"/>
      <c r="E4" s="45"/>
      <c r="F4" s="45"/>
      <c r="G4" s="45"/>
      <c r="H4" s="46"/>
      <c r="J4" s="44" t="n">
        <v>2</v>
      </c>
      <c r="K4" s="47" t="n">
        <f aca="false">G31</f>
        <v>459</v>
      </c>
      <c r="L4" s="48" t="n">
        <f aca="false">G37</f>
        <v>0</v>
      </c>
      <c r="M4" s="48" t="n">
        <v>0</v>
      </c>
      <c r="N4" s="46"/>
      <c r="P4" s="44" t="s">
        <v>70</v>
      </c>
      <c r="Q4" s="45" t="s">
        <v>71</v>
      </c>
      <c r="R4" s="52" t="n">
        <v>30</v>
      </c>
      <c r="S4" s="45"/>
      <c r="T4" s="45"/>
      <c r="U4" s="45"/>
      <c r="V4" s="45"/>
      <c r="W4" s="46"/>
    </row>
    <row r="5" customFormat="false" ht="13.2" hidden="false" customHeight="false" outlineLevel="0" collapsed="false">
      <c r="A5" s="44"/>
      <c r="B5" s="45"/>
      <c r="C5" s="45"/>
      <c r="D5" s="45"/>
      <c r="E5" s="45"/>
      <c r="F5" s="45"/>
      <c r="G5" s="45"/>
      <c r="H5" s="46"/>
      <c r="J5" s="44" t="n">
        <v>3</v>
      </c>
      <c r="K5" s="47" t="n">
        <f aca="false">G32</f>
        <v>229.499999999999</v>
      </c>
      <c r="L5" s="48" t="n">
        <f aca="false">G38</f>
        <v>-397.505660337058</v>
      </c>
      <c r="M5" s="48" t="n">
        <v>0</v>
      </c>
      <c r="N5" s="46"/>
      <c r="P5" s="44" t="s">
        <v>72</v>
      </c>
      <c r="Q5" s="45" t="s">
        <v>73</v>
      </c>
      <c r="R5" s="52" t="n">
        <v>500</v>
      </c>
      <c r="S5" s="45"/>
      <c r="T5" s="45"/>
      <c r="U5" s="45"/>
      <c r="V5" s="45"/>
      <c r="W5" s="46"/>
    </row>
    <row r="6" customFormat="false" ht="13.2" hidden="false" customHeight="false" outlineLevel="0" collapsed="false">
      <c r="A6" s="44"/>
      <c r="B6" s="45"/>
      <c r="C6" s="45"/>
      <c r="D6" s="45"/>
      <c r="E6" s="45"/>
      <c r="F6" s="45"/>
      <c r="G6" s="45"/>
      <c r="H6" s="46"/>
      <c r="J6" s="44" t="n">
        <v>4</v>
      </c>
      <c r="K6" s="47" t="n">
        <f aca="false">G33</f>
        <v>-229.499999999999</v>
      </c>
      <c r="L6" s="48" t="n">
        <f aca="false">G39</f>
        <v>-397.505660337058</v>
      </c>
      <c r="M6" s="48" t="n">
        <v>0</v>
      </c>
      <c r="N6" s="46"/>
      <c r="P6" s="44" t="s">
        <v>74</v>
      </c>
      <c r="Q6" s="45" t="s">
        <v>75</v>
      </c>
      <c r="R6" s="52" t="n">
        <v>459</v>
      </c>
      <c r="S6" s="45"/>
      <c r="T6" s="45"/>
      <c r="U6" s="45"/>
      <c r="V6" s="45"/>
      <c r="W6" s="46"/>
    </row>
    <row r="7" customFormat="false" ht="13.2" hidden="false" customHeight="false" outlineLevel="0" collapsed="false">
      <c r="A7" s="44"/>
      <c r="B7" s="45"/>
      <c r="C7" s="45" t="s">
        <v>75</v>
      </c>
      <c r="D7" s="45" t="s">
        <v>76</v>
      </c>
      <c r="E7" s="45" t="s">
        <v>77</v>
      </c>
      <c r="F7" s="45"/>
      <c r="G7" s="45"/>
      <c r="H7" s="46"/>
      <c r="J7" s="44" t="n">
        <v>5</v>
      </c>
      <c r="K7" s="47" t="n">
        <f aca="false">G34</f>
        <v>-459</v>
      </c>
      <c r="L7" s="48" t="n">
        <f aca="false">G40</f>
        <v>0</v>
      </c>
      <c r="M7" s="48" t="n">
        <v>0</v>
      </c>
      <c r="N7" s="46"/>
      <c r="P7" s="44" t="s">
        <v>78</v>
      </c>
      <c r="Q7" s="45" t="s">
        <v>79</v>
      </c>
      <c r="R7" s="52" t="n">
        <v>180</v>
      </c>
      <c r="S7" s="45"/>
      <c r="T7" s="45"/>
      <c r="U7" s="45"/>
      <c r="V7" s="45"/>
      <c r="W7" s="46"/>
    </row>
    <row r="8" customFormat="false" ht="13.2" hidden="false" customHeight="false" outlineLevel="0" collapsed="false">
      <c r="A8" s="44" t="s">
        <v>28</v>
      </c>
      <c r="B8" s="45" t="s">
        <v>80</v>
      </c>
      <c r="C8" s="45" t="n">
        <f aca="false">$R$5</f>
        <v>500</v>
      </c>
      <c r="D8" s="45" t="n">
        <f aca="false">PI()/6</f>
        <v>0.523598775598299</v>
      </c>
      <c r="E8" s="45" t="n">
        <f aca="false">D8+RADIANS(R2)</f>
        <v>0.785398163397448</v>
      </c>
      <c r="F8" s="45"/>
      <c r="G8" s="45" t="n">
        <f aca="false">C8*COS(E8)</f>
        <v>353.553390593274</v>
      </c>
      <c r="H8" s="46" t="n">
        <f aca="false">DEGREES(E8)</f>
        <v>45</v>
      </c>
      <c r="J8" s="44" t="n">
        <v>6</v>
      </c>
      <c r="K8" s="47" t="n">
        <f aca="false">G35</f>
        <v>-229.499999999999</v>
      </c>
      <c r="L8" s="48" t="n">
        <f aca="false">G41</f>
        <v>397.505660337058</v>
      </c>
      <c r="M8" s="48" t="n">
        <v>0</v>
      </c>
      <c r="N8" s="46"/>
      <c r="P8" s="44" t="s">
        <v>81</v>
      </c>
      <c r="Q8" s="45" t="s">
        <v>82</v>
      </c>
      <c r="R8" s="52" t="n">
        <v>650</v>
      </c>
      <c r="S8" s="45"/>
      <c r="T8" s="45"/>
      <c r="U8" s="45"/>
      <c r="V8" s="45"/>
      <c r="W8" s="46"/>
    </row>
    <row r="9" customFormat="false" ht="13.8" hidden="false" customHeight="false" outlineLevel="0" collapsed="false">
      <c r="A9" s="44"/>
      <c r="B9" s="45" t="s">
        <v>83</v>
      </c>
      <c r="C9" s="45" t="n">
        <f aca="false">$R$5</f>
        <v>500</v>
      </c>
      <c r="D9" s="45" t="n">
        <f aca="false">PI()/6</f>
        <v>0.523598775598299</v>
      </c>
      <c r="E9" s="45" t="n">
        <f aca="false">D9-RADIANS(R2)</f>
        <v>0.261799387799149</v>
      </c>
      <c r="F9" s="45"/>
      <c r="G9" s="45" t="n">
        <f aca="false">C9*COS(E9)</f>
        <v>482.962913144534</v>
      </c>
      <c r="H9" s="46" t="n">
        <f aca="false">DEGREES(E9)</f>
        <v>15</v>
      </c>
      <c r="J9" s="53"/>
      <c r="K9" s="54"/>
      <c r="L9" s="54"/>
      <c r="M9" s="54"/>
      <c r="N9" s="55"/>
      <c r="P9" s="44" t="s">
        <v>84</v>
      </c>
      <c r="Q9" s="45" t="s">
        <v>85</v>
      </c>
      <c r="R9" s="56" t="n">
        <v>570</v>
      </c>
      <c r="S9" s="45"/>
      <c r="T9" s="45"/>
      <c r="U9" s="45"/>
      <c r="V9" s="45"/>
      <c r="W9" s="46"/>
    </row>
    <row r="10" customFormat="false" ht="13.8" hidden="false" customHeight="false" outlineLevel="0" collapsed="false">
      <c r="A10" s="44"/>
      <c r="B10" s="45" t="s">
        <v>86</v>
      </c>
      <c r="C10" s="45" t="n">
        <f aca="false">$R$5</f>
        <v>500</v>
      </c>
      <c r="D10" s="45" t="n">
        <f aca="false">-PI()/2</f>
        <v>-1.5707963267949</v>
      </c>
      <c r="E10" s="45" t="n">
        <f aca="false">D10+RADIANS(R2)</f>
        <v>-1.30899693899575</v>
      </c>
      <c r="F10" s="45"/>
      <c r="G10" s="45" t="n">
        <f aca="false">C10*COS(E10)</f>
        <v>129.40952255126</v>
      </c>
      <c r="H10" s="46" t="n">
        <f aca="false">DEGREES(E10)</f>
        <v>-75</v>
      </c>
      <c r="P10" s="44" t="s">
        <v>87</v>
      </c>
      <c r="Q10" s="45" t="s">
        <v>88</v>
      </c>
      <c r="R10" s="57" t="n">
        <f aca="false">R32-30</f>
        <v>-1</v>
      </c>
      <c r="S10" s="57" t="n">
        <f aca="false">S32-30</f>
        <v>-1</v>
      </c>
      <c r="T10" s="57" t="n">
        <f aca="false">T32-20</f>
        <v>2</v>
      </c>
      <c r="U10" s="57" t="n">
        <f aca="false">(U32-30)*(PI()/180)</f>
        <v>0.0174532925199433</v>
      </c>
      <c r="V10" s="57" t="n">
        <f aca="false">(V32-30)*(PI()/180)</f>
        <v>0</v>
      </c>
      <c r="W10" s="58" t="n">
        <f aca="false">(W32-30)*(PI()/180)</f>
        <v>0</v>
      </c>
    </row>
    <row r="11" customFormat="false" ht="13.8" hidden="false" customHeight="false" outlineLevel="0" collapsed="false">
      <c r="A11" s="44"/>
      <c r="B11" s="45" t="s">
        <v>89</v>
      </c>
      <c r="C11" s="45" t="n">
        <f aca="false">$R$5*-1</f>
        <v>-500</v>
      </c>
      <c r="D11" s="45" t="n">
        <f aca="false">-PI()/2</f>
        <v>-1.5707963267949</v>
      </c>
      <c r="E11" s="45" t="n">
        <f aca="false">D11+RADIANS(R2)</f>
        <v>-1.30899693899575</v>
      </c>
      <c r="F11" s="45"/>
      <c r="G11" s="45" t="n">
        <f aca="false">C11*COS(E11)</f>
        <v>-129.40952255126</v>
      </c>
      <c r="H11" s="46" t="n">
        <f aca="false">DEGREES(E11)</f>
        <v>-75</v>
      </c>
      <c r="J11" s="33" t="s">
        <v>90</v>
      </c>
      <c r="K11" s="34" t="s">
        <v>28</v>
      </c>
      <c r="L11" s="34" t="s">
        <v>29</v>
      </c>
      <c r="M11" s="34" t="s">
        <v>30</v>
      </c>
      <c r="N11" s="35"/>
      <c r="P11" s="53"/>
      <c r="Q11" s="54"/>
      <c r="R11" s="59"/>
      <c r="S11" s="59"/>
      <c r="T11" s="59"/>
      <c r="U11" s="59"/>
      <c r="V11" s="59"/>
      <c r="W11" s="32"/>
    </row>
    <row r="12" customFormat="false" ht="13.2" hidden="false" customHeight="false" outlineLevel="0" collapsed="false">
      <c r="A12" s="44"/>
      <c r="B12" s="45" t="s">
        <v>91</v>
      </c>
      <c r="C12" s="45" t="n">
        <f aca="false">$R$5*-1</f>
        <v>-500</v>
      </c>
      <c r="D12" s="45" t="n">
        <f aca="false">PI()/6</f>
        <v>0.523598775598299</v>
      </c>
      <c r="E12" s="45" t="n">
        <f aca="false">D12-RADIANS(R2)</f>
        <v>0.261799387799149</v>
      </c>
      <c r="F12" s="45"/>
      <c r="G12" s="45" t="n">
        <f aca="false">C12*COS(E12)</f>
        <v>-482.962913144534</v>
      </c>
      <c r="H12" s="46" t="n">
        <f aca="false">DEGREES(E12)</f>
        <v>15</v>
      </c>
      <c r="J12" s="44" t="n">
        <v>1</v>
      </c>
      <c r="K12" s="47" t="n">
        <f aca="false">G8*COS($V$10)*COS($W$10)+G14*(SIN($U$10)*SIN($V$10)*COS($V$10)-COS($U$10)*SIN($W$10))+$R$10</f>
        <v>352.553390593274</v>
      </c>
      <c r="L12" s="47" t="n">
        <f aca="false">G8*COS($V$10)*SIN($W$10)+G14*(COS($U$10)*COS($W$10)+SIN($U$10)*SIN($V$10)*SIN($W$10))+$S$10</f>
        <v>352.499542699412</v>
      </c>
      <c r="M12" s="47" t="n">
        <f aca="false">-G8*SIN($V$10)+G14*SIN($U$10)*COS($V$10)+$R$9+$T$10</f>
        <v>578.170357469914</v>
      </c>
      <c r="N12" s="46" t="s">
        <v>92</v>
      </c>
      <c r="P12" s="33"/>
      <c r="Q12" s="34"/>
      <c r="R12" s="34"/>
      <c r="S12" s="34"/>
      <c r="T12" s="34"/>
      <c r="U12" s="34"/>
      <c r="V12" s="34"/>
      <c r="W12" s="35"/>
    </row>
    <row r="13" customFormat="false" ht="13.2" hidden="false" customHeight="false" outlineLevel="0" collapsed="false">
      <c r="A13" s="44"/>
      <c r="B13" s="45" t="s">
        <v>93</v>
      </c>
      <c r="C13" s="45" t="n">
        <f aca="false">$R$5*-1</f>
        <v>-500</v>
      </c>
      <c r="D13" s="45" t="n">
        <f aca="false">PI()/6</f>
        <v>0.523598775598299</v>
      </c>
      <c r="E13" s="45" t="n">
        <f aca="false">D13+RADIANS(R2)</f>
        <v>0.785398163397448</v>
      </c>
      <c r="F13" s="45"/>
      <c r="G13" s="45" t="n">
        <f aca="false">C13*COS(E13)</f>
        <v>-353.553390593274</v>
      </c>
      <c r="H13" s="46" t="n">
        <f aca="false">DEGREES(E13)</f>
        <v>45</v>
      </c>
      <c r="J13" s="44" t="n">
        <v>2</v>
      </c>
      <c r="K13" s="47" t="n">
        <f aca="false">G9*COS($V$10)*COS($W$10)+G15*(SIN($U$10)*SIN($V$10)*COS($V$10)-COS($U$10)*SIN($W$10))+$R$10</f>
        <v>481.962913144534</v>
      </c>
      <c r="L13" s="47" t="n">
        <f aca="false">G9*COS($V$10)*SIN($W$10)+G15*(COS($U$10)*COS($W$10)+SIN($U$10)*SIN($V$10)*SIN($W$10))+$S$10</f>
        <v>128.389812854167</v>
      </c>
      <c r="M13" s="47" t="n">
        <f aca="false">-G9*SIN($V$10)+G15*SIN($U$10)*COS($V$10)+$R$9+$T$10</f>
        <v>574.258507584419</v>
      </c>
      <c r="N13" s="46"/>
      <c r="P13" s="44"/>
      <c r="Q13" s="45"/>
      <c r="R13" s="45"/>
      <c r="S13" s="45"/>
      <c r="T13" s="45"/>
      <c r="U13" s="45"/>
      <c r="V13" s="45"/>
      <c r="W13" s="46"/>
    </row>
    <row r="14" customFormat="false" ht="24.6" hidden="false" customHeight="false" outlineLevel="0" collapsed="false">
      <c r="A14" s="44" t="s">
        <v>29</v>
      </c>
      <c r="B14" s="45" t="s">
        <v>94</v>
      </c>
      <c r="C14" s="45" t="n">
        <f aca="false">$R$5</f>
        <v>500</v>
      </c>
      <c r="D14" s="45" t="n">
        <f aca="false">PI()/6</f>
        <v>0.523598775598299</v>
      </c>
      <c r="E14" s="45" t="n">
        <f aca="false">D14+RADIANS(R2)</f>
        <v>0.785398163397448</v>
      </c>
      <c r="F14" s="45"/>
      <c r="G14" s="45" t="n">
        <f aca="false">C14*SIN(E14)</f>
        <v>353.553390593274</v>
      </c>
      <c r="H14" s="46" t="n">
        <f aca="false">DEGREES(E14)</f>
        <v>45</v>
      </c>
      <c r="J14" s="44" t="n">
        <v>3</v>
      </c>
      <c r="K14" s="47" t="n">
        <f aca="false">G10*COS($V$10)*COS($W$10)+G16*(SIN($U$10)*SIN($V$10)*COS($V$10)-COS($U$10)*SIN($W$10))+$R$10</f>
        <v>128.40952255126</v>
      </c>
      <c r="L14" s="47" t="n">
        <f aca="false">G10*COS($V$10)*SIN($W$10)+G16*(COS($U$10)*COS($W$10)+SIN($U$10)*SIN($V$10)*SIN($W$10))+$S$10</f>
        <v>-483.889355553579</v>
      </c>
      <c r="M14" s="47" t="n">
        <f aca="false">-G10*SIN($V$10)+G16*SIN($U$10)*COS($V$10)+$R$9+$T$10</f>
        <v>563.571134945667</v>
      </c>
      <c r="N14" s="46"/>
      <c r="P14" s="60" t="s">
        <v>95</v>
      </c>
      <c r="Q14" s="45"/>
      <c r="R14" s="45"/>
      <c r="S14" s="45"/>
      <c r="T14" s="45"/>
      <c r="U14" s="45"/>
      <c r="V14" s="45"/>
      <c r="W14" s="46"/>
    </row>
    <row r="15" customFormat="false" ht="13.2" hidden="false" customHeight="false" outlineLevel="0" collapsed="false">
      <c r="A15" s="44"/>
      <c r="B15" s="45" t="s">
        <v>96</v>
      </c>
      <c r="C15" s="45" t="n">
        <f aca="false">$R$5</f>
        <v>500</v>
      </c>
      <c r="D15" s="45" t="n">
        <f aca="false">PI()/6</f>
        <v>0.523598775598299</v>
      </c>
      <c r="E15" s="45" t="n">
        <f aca="false">D15-RADIANS(R2)</f>
        <v>0.261799387799149</v>
      </c>
      <c r="F15" s="45"/>
      <c r="G15" s="45" t="n">
        <f aca="false">C15*SIN(E15)</f>
        <v>129.40952255126</v>
      </c>
      <c r="H15" s="46" t="n">
        <f aca="false">DEGREES(E15)</f>
        <v>15</v>
      </c>
      <c r="J15" s="44" t="n">
        <v>4</v>
      </c>
      <c r="K15" s="47" t="n">
        <f aca="false">G11*COS($V$10)*COS($W$10)+G17*(SIN($U$10)*SIN($V$10)*COS($V$10)-COS($U$10)*SIN($W$10))+$R$10</f>
        <v>-130.40952255126</v>
      </c>
      <c r="L15" s="47" t="n">
        <f aca="false">G11*COS($V$10)*SIN($W$10)+G17*(COS($U$10)*COS($W$10)+SIN($U$10)*SIN($V$10)*SIN($W$10))+$S$10</f>
        <v>-483.889355553579</v>
      </c>
      <c r="M15" s="47" t="n">
        <f aca="false">-G11*SIN($V$10)+G17*SIN($U$10)*COS($V$10)+$R$9+$T$10</f>
        <v>563.571134945667</v>
      </c>
      <c r="N15" s="46"/>
      <c r="P15" s="44"/>
      <c r="Q15" s="45"/>
      <c r="R15" s="45"/>
      <c r="S15" s="45"/>
      <c r="T15" s="45"/>
      <c r="U15" s="45"/>
      <c r="V15" s="45"/>
      <c r="W15" s="46"/>
    </row>
    <row r="16" customFormat="false" ht="21" hidden="false" customHeight="false" outlineLevel="0" collapsed="false">
      <c r="A16" s="44"/>
      <c r="B16" s="45" t="s">
        <v>97</v>
      </c>
      <c r="C16" s="45" t="n">
        <f aca="false">$R$5</f>
        <v>500</v>
      </c>
      <c r="D16" s="45" t="n">
        <f aca="false">-PI()/2</f>
        <v>-1.5707963267949</v>
      </c>
      <c r="E16" s="45" t="n">
        <f aca="false">D16+RADIANS(R2)</f>
        <v>-1.30899693899575</v>
      </c>
      <c r="F16" s="45"/>
      <c r="G16" s="45" t="n">
        <f aca="false">C16*SIN(E16)</f>
        <v>-482.962913144534</v>
      </c>
      <c r="H16" s="46" t="n">
        <f aca="false">DEGREES(E16)</f>
        <v>-75</v>
      </c>
      <c r="J16" s="44" t="n">
        <v>5</v>
      </c>
      <c r="K16" s="47" t="n">
        <f aca="false">G12*COS($V$10)*COS($W$10)+G18*(SIN($U$10)*SIN($V$10)*COS($V$10)-COS($U$10)*SIN($W$10))+$R$10</f>
        <v>-483.962913144534</v>
      </c>
      <c r="L16" s="47" t="n">
        <f aca="false">G12*COS($V$10)*SIN($W$10)+G18*(COS($U$10)*COS($W$10)+SIN($U$10)*SIN($V$10)*SIN($W$10))+$S$10</f>
        <v>128.389812854167</v>
      </c>
      <c r="M16" s="47" t="n">
        <f aca="false">-G12*SIN($V$10)+G18*SIN($U$10)*COS($V$10)+$R$9+$T$10</f>
        <v>574.258507584419</v>
      </c>
      <c r="N16" s="46"/>
      <c r="P16" s="61" t="s">
        <v>98</v>
      </c>
      <c r="Q16" s="45"/>
      <c r="R16" s="45"/>
      <c r="S16" s="45"/>
      <c r="T16" s="45"/>
      <c r="U16" s="45"/>
      <c r="V16" s="45"/>
      <c r="W16" s="46"/>
    </row>
    <row r="17" customFormat="false" ht="13.2" hidden="false" customHeight="false" outlineLevel="0" collapsed="false">
      <c r="A17" s="44"/>
      <c r="B17" s="45" t="s">
        <v>99</v>
      </c>
      <c r="C17" s="45" t="n">
        <f aca="false">$R$5</f>
        <v>500</v>
      </c>
      <c r="D17" s="45" t="n">
        <f aca="false">-PI()/2</f>
        <v>-1.5707963267949</v>
      </c>
      <c r="E17" s="45" t="n">
        <f aca="false">D17+RADIANS(R2)</f>
        <v>-1.30899693899575</v>
      </c>
      <c r="F17" s="45"/>
      <c r="G17" s="45" t="n">
        <f aca="false">C17*SIN(E17)</f>
        <v>-482.962913144534</v>
      </c>
      <c r="H17" s="46" t="n">
        <f aca="false">DEGREES(E17)</f>
        <v>-75</v>
      </c>
      <c r="J17" s="44" t="n">
        <v>6</v>
      </c>
      <c r="K17" s="47" t="n">
        <f aca="false">G13*COS($V$10)*COS($W$10)+G19*(SIN($U$10)*SIN($V$10)*COS($V$10)-COS($U$10)*SIN($W$10))+$R$10</f>
        <v>-354.553390593274</v>
      </c>
      <c r="L17" s="47" t="n">
        <f aca="false">G13*COS($V$10)*SIN($W$10)+G19*(COS($U$10)*COS($W$10)+SIN($U$10)*SIN($V$10)*SIN($W$10))+$S$10</f>
        <v>352.499542699412</v>
      </c>
      <c r="M17" s="47" t="n">
        <f aca="false">-G13*SIN($V$10)+G19*SIN($U$10)*COS($V$10)+$R$9+$T$10</f>
        <v>578.170357469914</v>
      </c>
      <c r="N17" s="46"/>
      <c r="P17" s="44"/>
      <c r="Q17" s="45"/>
      <c r="R17" s="45"/>
      <c r="S17" s="45"/>
      <c r="T17" s="45"/>
      <c r="U17" s="45"/>
      <c r="V17" s="45"/>
      <c r="W17" s="46"/>
    </row>
    <row r="18" customFormat="false" ht="13.2" hidden="false" customHeight="false" outlineLevel="0" collapsed="false">
      <c r="A18" s="44"/>
      <c r="B18" s="45" t="s">
        <v>100</v>
      </c>
      <c r="C18" s="45" t="n">
        <f aca="false">$R$5</f>
        <v>500</v>
      </c>
      <c r="D18" s="45" t="n">
        <f aca="false">PI()/6</f>
        <v>0.523598775598299</v>
      </c>
      <c r="E18" s="45" t="n">
        <f aca="false">D18-RADIANS(R2)</f>
        <v>0.261799387799149</v>
      </c>
      <c r="F18" s="45"/>
      <c r="G18" s="45" t="n">
        <f aca="false">C18*SIN(E18)</f>
        <v>129.40952255126</v>
      </c>
      <c r="H18" s="46" t="n">
        <f aca="false">DEGREES(E18)</f>
        <v>15</v>
      </c>
      <c r="J18" s="44"/>
      <c r="K18" s="47" t="n">
        <f aca="false">K12</f>
        <v>352.553390593274</v>
      </c>
      <c r="L18" s="47" t="n">
        <f aca="false">L12</f>
        <v>352.499542699412</v>
      </c>
      <c r="M18" s="47"/>
      <c r="N18" s="46"/>
      <c r="P18" s="44"/>
      <c r="Q18" s="45"/>
      <c r="R18" s="45"/>
      <c r="S18" s="45"/>
      <c r="T18" s="45"/>
      <c r="U18" s="45"/>
      <c r="V18" s="45"/>
      <c r="W18" s="46"/>
    </row>
    <row r="19" customFormat="false" ht="13.8" hidden="false" customHeight="false" outlineLevel="0" collapsed="false">
      <c r="A19" s="53"/>
      <c r="B19" s="54" t="s">
        <v>101</v>
      </c>
      <c r="C19" s="54" t="n">
        <f aca="false">$R$5</f>
        <v>500</v>
      </c>
      <c r="D19" s="54" t="n">
        <f aca="false">PI()/6</f>
        <v>0.523598775598299</v>
      </c>
      <c r="E19" s="54" t="n">
        <f aca="false">D19+RADIANS(R2)</f>
        <v>0.785398163397448</v>
      </c>
      <c r="F19" s="54"/>
      <c r="G19" s="54" t="n">
        <f aca="false">C19*SIN(E19)</f>
        <v>353.553390593274</v>
      </c>
      <c r="H19" s="62" t="n">
        <f aca="false">DEGREES(E19)</f>
        <v>45</v>
      </c>
      <c r="J19" s="53"/>
      <c r="K19" s="54"/>
      <c r="L19" s="54"/>
      <c r="M19" s="54"/>
      <c r="N19" s="55"/>
      <c r="P19" s="44"/>
      <c r="Q19" s="45"/>
      <c r="R19" s="45"/>
      <c r="S19" s="45"/>
      <c r="T19" s="45"/>
      <c r="U19" s="45"/>
      <c r="V19" s="45"/>
      <c r="W19" s="46"/>
    </row>
    <row r="20" customFormat="false" ht="13.8" hidden="false" customHeight="false" outlineLevel="0" collapsed="false">
      <c r="P20" s="44"/>
      <c r="Q20" s="45"/>
      <c r="R20" s="45"/>
      <c r="S20" s="45"/>
      <c r="T20" s="45"/>
      <c r="U20" s="45"/>
      <c r="V20" s="45"/>
      <c r="W20" s="46"/>
    </row>
    <row r="21" customFormat="false" ht="13.2" hidden="false" customHeight="false" outlineLevel="0" collapsed="false">
      <c r="J21" s="33" t="s">
        <v>102</v>
      </c>
      <c r="K21" s="34" t="s">
        <v>28</v>
      </c>
      <c r="L21" s="34" t="s">
        <v>29</v>
      </c>
      <c r="M21" s="34" t="s">
        <v>30</v>
      </c>
      <c r="N21" s="35" t="s">
        <v>103</v>
      </c>
      <c r="P21" s="44"/>
      <c r="Q21" s="45"/>
      <c r="R21" s="45"/>
      <c r="S21" s="45"/>
      <c r="T21" s="45"/>
      <c r="U21" s="45"/>
      <c r="V21" s="45"/>
      <c r="W21" s="46"/>
    </row>
    <row r="22" customFormat="false" ht="13.2" hidden="false" customHeight="false" outlineLevel="0" collapsed="false">
      <c r="J22" s="44" t="n">
        <v>1</v>
      </c>
      <c r="K22" s="47" t="n">
        <f aca="false">K3-K12</f>
        <v>-123.053390593275</v>
      </c>
      <c r="L22" s="47" t="n">
        <f aca="false">L3-L12</f>
        <v>45.0061176376458</v>
      </c>
      <c r="M22" s="48" t="n">
        <f aca="false">M3-M12</f>
        <v>-578.170357469914</v>
      </c>
      <c r="N22" s="46"/>
      <c r="P22" s="44"/>
      <c r="Q22" s="45"/>
      <c r="R22" s="45"/>
      <c r="S22" s="45"/>
      <c r="T22" s="45"/>
      <c r="U22" s="45"/>
      <c r="V22" s="45"/>
      <c r="W22" s="46"/>
    </row>
    <row r="23" customFormat="false" ht="13.8" hidden="false" customHeight="false" outlineLevel="0" collapsed="false">
      <c r="J23" s="44" t="n">
        <v>2</v>
      </c>
      <c r="K23" s="47" t="n">
        <f aca="false">K4-K13</f>
        <v>-22.962913144534</v>
      </c>
      <c r="L23" s="47" t="n">
        <f aca="false">L4-L13</f>
        <v>-128.389812854167</v>
      </c>
      <c r="M23" s="48" t="n">
        <f aca="false">M4-M13</f>
        <v>-574.258507584419</v>
      </c>
      <c r="N23" s="46"/>
      <c r="P23" s="44"/>
      <c r="Q23" s="45"/>
      <c r="R23" s="45"/>
      <c r="S23" s="45"/>
      <c r="T23" s="45"/>
      <c r="U23" s="45"/>
      <c r="V23" s="45"/>
      <c r="W23" s="46"/>
    </row>
    <row r="24" customFormat="false" ht="13.8" hidden="false" customHeight="false" outlineLevel="0" collapsed="false">
      <c r="A24" s="33" t="s">
        <v>104</v>
      </c>
      <c r="B24" s="34"/>
      <c r="C24" s="34"/>
      <c r="D24" s="34"/>
      <c r="E24" s="34"/>
      <c r="F24" s="34"/>
      <c r="G24" s="34"/>
      <c r="H24" s="35"/>
      <c r="J24" s="44" t="n">
        <v>3</v>
      </c>
      <c r="K24" s="47" t="n">
        <f aca="false">K5-K14</f>
        <v>101.090477448739</v>
      </c>
      <c r="L24" s="47" t="n">
        <f aca="false">L5-L14</f>
        <v>86.3836952165211</v>
      </c>
      <c r="M24" s="48" t="n">
        <f aca="false">M5-M14</f>
        <v>-563.571134945667</v>
      </c>
      <c r="N24" s="46"/>
      <c r="P24" s="53"/>
      <c r="Q24" s="54"/>
      <c r="R24" s="54"/>
      <c r="S24" s="54"/>
      <c r="T24" s="54"/>
      <c r="U24" s="54"/>
      <c r="V24" s="54"/>
      <c r="W24" s="62"/>
    </row>
    <row r="25" customFormat="false" ht="13.2" hidden="false" customHeight="false" outlineLevel="0" collapsed="false">
      <c r="A25" s="44"/>
      <c r="B25" s="45"/>
      <c r="C25" s="45"/>
      <c r="E25" s="45"/>
      <c r="F25" s="45"/>
      <c r="G25" s="45"/>
      <c r="H25" s="46"/>
      <c r="J25" s="44" t="n">
        <v>4</v>
      </c>
      <c r="K25" s="47" t="n">
        <f aca="false">K6-K15</f>
        <v>-99.0904774487391</v>
      </c>
      <c r="L25" s="47" t="n">
        <f aca="false">L6-L15</f>
        <v>86.3836952165211</v>
      </c>
      <c r="M25" s="47" t="n">
        <f aca="false">M6-M15</f>
        <v>-563.571134945667</v>
      </c>
      <c r="N25" s="46"/>
      <c r="R25" s="0" t="n">
        <v>1</v>
      </c>
      <c r="S25" s="0" t="n">
        <v>2</v>
      </c>
      <c r="T25" s="0" t="n">
        <v>3</v>
      </c>
      <c r="U25" s="0" t="n">
        <v>4</v>
      </c>
      <c r="V25" s="0" t="n">
        <v>5</v>
      </c>
      <c r="W25" s="0" t="n">
        <v>6</v>
      </c>
    </row>
    <row r="26" customFormat="false" ht="13.2" hidden="false" customHeight="false" outlineLevel="0" collapsed="false">
      <c r="A26" s="44"/>
      <c r="B26" s="45"/>
      <c r="C26" s="45"/>
      <c r="E26" s="45"/>
      <c r="F26" s="45"/>
      <c r="G26" s="45"/>
      <c r="H26" s="46"/>
      <c r="J26" s="44" t="n">
        <v>5</v>
      </c>
      <c r="K26" s="47" t="n">
        <f aca="false">K7-K16</f>
        <v>24.962913144534</v>
      </c>
      <c r="L26" s="47" t="n">
        <f aca="false">L7-L16</f>
        <v>-128.389812854167</v>
      </c>
      <c r="M26" s="47" t="n">
        <f aca="false">M7-M16</f>
        <v>-574.258507584419</v>
      </c>
      <c r="N26" s="46"/>
    </row>
    <row r="27" customFormat="false" ht="13.2" hidden="false" customHeight="false" outlineLevel="0" collapsed="false">
      <c r="A27" s="44"/>
      <c r="B27" s="45"/>
      <c r="C27" s="45"/>
      <c r="D27" s="45"/>
      <c r="E27" s="45"/>
      <c r="F27" s="45"/>
      <c r="G27" s="45"/>
      <c r="H27" s="46"/>
      <c r="J27" s="44" t="n">
        <v>6</v>
      </c>
      <c r="K27" s="47" t="n">
        <f aca="false">K8-K17</f>
        <v>125.053390593275</v>
      </c>
      <c r="L27" s="47" t="n">
        <f aca="false">L8-L17</f>
        <v>45.0061176376458</v>
      </c>
      <c r="M27" s="47" t="n">
        <f aca="false">M8-M17</f>
        <v>-578.170357469914</v>
      </c>
      <c r="N27" s="46"/>
    </row>
    <row r="28" customFormat="false" ht="13.8" hidden="false" customHeight="false" outlineLevel="0" collapsed="false">
      <c r="A28" s="44"/>
      <c r="B28" s="45"/>
      <c r="C28" s="45"/>
      <c r="D28" s="45"/>
      <c r="E28" s="45"/>
      <c r="F28" s="45"/>
      <c r="G28" s="45"/>
      <c r="H28" s="46"/>
      <c r="J28" s="53"/>
      <c r="K28" s="54"/>
      <c r="L28" s="54"/>
      <c r="M28" s="54"/>
      <c r="N28" s="55"/>
    </row>
    <row r="29" customFormat="false" ht="13.8" hidden="false" customHeight="false" outlineLevel="0" collapsed="false">
      <c r="A29" s="44"/>
      <c r="B29" s="45"/>
      <c r="C29" s="45" t="s">
        <v>73</v>
      </c>
      <c r="D29" s="45" t="s">
        <v>76</v>
      </c>
      <c r="E29" s="45" t="s">
        <v>77</v>
      </c>
      <c r="F29" s="45"/>
      <c r="G29" s="45"/>
      <c r="H29" s="46"/>
    </row>
    <row r="30" customFormat="false" ht="13.8" hidden="false" customHeight="false" outlineLevel="0" collapsed="false">
      <c r="A30" s="44" t="s">
        <v>28</v>
      </c>
      <c r="B30" s="45" t="s">
        <v>105</v>
      </c>
      <c r="C30" s="45" t="n">
        <f aca="false">$R$6</f>
        <v>459</v>
      </c>
      <c r="D30" s="45" t="n">
        <f aca="false">PI()/6</f>
        <v>0.523598775598299</v>
      </c>
      <c r="E30" s="45" t="n">
        <f aca="false">D30+RADIANS(R4)</f>
        <v>1.0471975511966</v>
      </c>
      <c r="F30" s="45"/>
      <c r="G30" s="45" t="n">
        <f aca="false">C30*COS(E30)</f>
        <v>229.499999999999</v>
      </c>
      <c r="H30" s="46" t="n">
        <f aca="false">DEGREES(E30)</f>
        <v>60</v>
      </c>
      <c r="J30" s="33" t="s">
        <v>106</v>
      </c>
      <c r="K30" s="34" t="s">
        <v>107</v>
      </c>
      <c r="L30" s="34"/>
      <c r="M30" s="34"/>
      <c r="N30" s="35"/>
    </row>
    <row r="31" customFormat="false" ht="13.2" hidden="false" customHeight="false" outlineLevel="0" collapsed="false">
      <c r="A31" s="44"/>
      <c r="B31" s="45" t="s">
        <v>108</v>
      </c>
      <c r="C31" s="45" t="n">
        <f aca="false">$R$6</f>
        <v>459</v>
      </c>
      <c r="D31" s="45" t="n">
        <f aca="false">PI()/6</f>
        <v>0.523598775598299</v>
      </c>
      <c r="E31" s="45" t="n">
        <f aca="false">D31-RADIANS(R4)</f>
        <v>0</v>
      </c>
      <c r="F31" s="45"/>
      <c r="G31" s="45" t="n">
        <f aca="false">C31*COS(E31)</f>
        <v>459</v>
      </c>
      <c r="H31" s="46" t="n">
        <f aca="false">DEGREES(E31)</f>
        <v>0</v>
      </c>
      <c r="J31" s="44" t="n">
        <v>1</v>
      </c>
      <c r="K31" s="47" t="n">
        <f aca="false">SQRT(K22^2+L22^2+M22^2)</f>
        <v>592.831046604514</v>
      </c>
      <c r="L31" s="47"/>
      <c r="M31" s="47"/>
      <c r="N31" s="46" t="s">
        <v>109</v>
      </c>
      <c r="R31" s="33" t="s">
        <v>28</v>
      </c>
      <c r="S31" s="34" t="s">
        <v>29</v>
      </c>
      <c r="T31" s="34" t="s">
        <v>30</v>
      </c>
      <c r="U31" s="34" t="s">
        <v>110</v>
      </c>
      <c r="V31" s="34" t="s">
        <v>111</v>
      </c>
      <c r="W31" s="35" t="n">
        <v>30</v>
      </c>
    </row>
    <row r="32" customFormat="false" ht="13.2" hidden="false" customHeight="false" outlineLevel="0" collapsed="false">
      <c r="A32" s="44"/>
      <c r="B32" s="45" t="s">
        <v>112</v>
      </c>
      <c r="C32" s="45" t="n">
        <f aca="false">$R$6</f>
        <v>459</v>
      </c>
      <c r="D32" s="45" t="n">
        <f aca="false">-PI()/2</f>
        <v>-1.5707963267949</v>
      </c>
      <c r="E32" s="45" t="n">
        <f aca="false">D32+RADIANS(R4)</f>
        <v>-1.0471975511966</v>
      </c>
      <c r="F32" s="45"/>
      <c r="G32" s="45" t="n">
        <f aca="false">C32*COS(E32)</f>
        <v>229.499999999999</v>
      </c>
      <c r="H32" s="46" t="n">
        <f aca="false">DEGREES(E32)</f>
        <v>-60</v>
      </c>
      <c r="J32" s="44" t="n">
        <v>2</v>
      </c>
      <c r="K32" s="47" t="n">
        <f aca="false">SQRT(K23^2+L23^2+M23^2)</f>
        <v>588.883751650439</v>
      </c>
      <c r="L32" s="47"/>
      <c r="M32" s="47"/>
      <c r="N32" s="46"/>
      <c r="R32" s="44" t="n">
        <v>29</v>
      </c>
      <c r="S32" s="45" t="n">
        <v>29</v>
      </c>
      <c r="T32" s="45" t="n">
        <v>22</v>
      </c>
      <c r="U32" s="45" t="n">
        <v>31</v>
      </c>
      <c r="V32" s="45" t="n">
        <v>30</v>
      </c>
      <c r="W32" s="46" t="n">
        <v>30</v>
      </c>
    </row>
    <row r="33" customFormat="false" ht="13.2" hidden="false" customHeight="false" outlineLevel="0" collapsed="false">
      <c r="A33" s="44"/>
      <c r="B33" s="45" t="s">
        <v>113</v>
      </c>
      <c r="C33" s="45" t="n">
        <f aca="false">$R$6*-1</f>
        <v>-459</v>
      </c>
      <c r="D33" s="45" t="n">
        <f aca="false">-PI()/2</f>
        <v>-1.5707963267949</v>
      </c>
      <c r="E33" s="45" t="n">
        <f aca="false">D33+RADIANS(R4)</f>
        <v>-1.0471975511966</v>
      </c>
      <c r="F33" s="45"/>
      <c r="G33" s="45" t="n">
        <f aca="false">C33*COS(E33)</f>
        <v>-229.499999999999</v>
      </c>
      <c r="H33" s="46" t="n">
        <f aca="false">DEGREES(E33)</f>
        <v>-60</v>
      </c>
      <c r="J33" s="44" t="n">
        <v>3</v>
      </c>
      <c r="K33" s="47" t="n">
        <f aca="false">SQRT(K24^2+L24^2+M24^2)</f>
        <v>579.045638593386</v>
      </c>
      <c r="L33" s="47"/>
      <c r="M33" s="47"/>
      <c r="N33" s="46"/>
      <c r="R33" s="44"/>
      <c r="S33" s="45"/>
      <c r="T33" s="45"/>
      <c r="U33" s="45"/>
      <c r="V33" s="45"/>
      <c r="W33" s="46"/>
    </row>
    <row r="34" customFormat="false" ht="13.2" hidden="false" customHeight="false" outlineLevel="0" collapsed="false">
      <c r="A34" s="44"/>
      <c r="B34" s="45" t="s">
        <v>114</v>
      </c>
      <c r="C34" s="45" t="n">
        <f aca="false">$R$6*-1</f>
        <v>-459</v>
      </c>
      <c r="D34" s="45" t="n">
        <f aca="false">PI()/6</f>
        <v>0.523598775598299</v>
      </c>
      <c r="E34" s="45" t="n">
        <f aca="false">D34-RADIANS(R4)</f>
        <v>0</v>
      </c>
      <c r="F34" s="45"/>
      <c r="G34" s="45" t="n">
        <f aca="false">C34*COS(E34)</f>
        <v>-459</v>
      </c>
      <c r="H34" s="46" t="n">
        <f aca="false">DEGREES(E34)</f>
        <v>0</v>
      </c>
      <c r="J34" s="44" t="n">
        <v>4</v>
      </c>
      <c r="K34" s="47" t="n">
        <f aca="false">SQRT(K25^2+L25^2+M25^2)</f>
        <v>578.699826908759</v>
      </c>
      <c r="L34" s="47"/>
      <c r="M34" s="47"/>
      <c r="N34" s="46"/>
      <c r="R34" s="44"/>
      <c r="S34" s="45"/>
      <c r="T34" s="45"/>
      <c r="U34" s="45"/>
      <c r="V34" s="45"/>
      <c r="W34" s="46"/>
    </row>
    <row r="35" customFormat="false" ht="13.2" hidden="false" customHeight="false" outlineLevel="0" collapsed="false">
      <c r="A35" s="44"/>
      <c r="B35" s="45" t="s">
        <v>115</v>
      </c>
      <c r="C35" s="45" t="n">
        <f aca="false">$R$6*-1</f>
        <v>-459</v>
      </c>
      <c r="D35" s="45" t="n">
        <f aca="false">PI()/6</f>
        <v>0.523598775598299</v>
      </c>
      <c r="E35" s="45" t="n">
        <f aca="false">D35+RADIANS(R4)</f>
        <v>1.0471975511966</v>
      </c>
      <c r="F35" s="45"/>
      <c r="G35" s="45" t="n">
        <f aca="false">C35*COS(E35)</f>
        <v>-229.499999999999</v>
      </c>
      <c r="H35" s="46" t="n">
        <f aca="false">DEGREES(E35)</f>
        <v>60</v>
      </c>
      <c r="J35" s="44" t="n">
        <v>5</v>
      </c>
      <c r="K35" s="47" t="n">
        <f aca="false">SQRT(K26^2+L26^2+M26^2)</f>
        <v>588.965130216105</v>
      </c>
      <c r="L35" s="47"/>
      <c r="M35" s="47"/>
      <c r="N35" s="46"/>
      <c r="R35" s="44"/>
      <c r="S35" s="45"/>
      <c r="T35" s="45"/>
      <c r="U35" s="45"/>
      <c r="V35" s="45"/>
      <c r="W35" s="46"/>
    </row>
    <row r="36" customFormat="false" ht="13.8" hidden="false" customHeight="false" outlineLevel="0" collapsed="false">
      <c r="A36" s="44" t="s">
        <v>29</v>
      </c>
      <c r="B36" s="45" t="s">
        <v>116</v>
      </c>
      <c r="C36" s="45" t="n">
        <f aca="false">$R$6</f>
        <v>459</v>
      </c>
      <c r="D36" s="45" t="n">
        <f aca="false">PI()/6</f>
        <v>0.523598775598299</v>
      </c>
      <c r="E36" s="45" t="n">
        <f aca="false">D36+RADIANS(R4)</f>
        <v>1.0471975511966</v>
      </c>
      <c r="F36" s="45"/>
      <c r="G36" s="45" t="n">
        <f aca="false">C36*SIN(E36)</f>
        <v>397.505660337058</v>
      </c>
      <c r="H36" s="46" t="n">
        <f aca="false">DEGREES(E36)</f>
        <v>60</v>
      </c>
      <c r="J36" s="53" t="n">
        <v>6</v>
      </c>
      <c r="K36" s="54" t="n">
        <f aca="false">SQRT(K27^2+L27^2+M27^2)</f>
        <v>593.249410771369</v>
      </c>
      <c r="L36" s="54"/>
      <c r="M36" s="54"/>
      <c r="N36" s="55"/>
      <c r="R36" s="44"/>
      <c r="S36" s="45"/>
      <c r="T36" s="45"/>
      <c r="U36" s="45"/>
      <c r="V36" s="45"/>
      <c r="W36" s="46"/>
    </row>
    <row r="37" customFormat="false" ht="13.8" hidden="false" customHeight="false" outlineLevel="0" collapsed="false">
      <c r="A37" s="44"/>
      <c r="B37" s="45" t="s">
        <v>117</v>
      </c>
      <c r="C37" s="45" t="n">
        <f aca="false">$R$6</f>
        <v>459</v>
      </c>
      <c r="D37" s="45" t="n">
        <f aca="false">PI()/6</f>
        <v>0.523598775598299</v>
      </c>
      <c r="E37" s="45" t="n">
        <f aca="false">D37-RADIANS(R4)</f>
        <v>0</v>
      </c>
      <c r="F37" s="45"/>
      <c r="G37" s="45" t="n">
        <f aca="false">C37*SIN(E37)</f>
        <v>0</v>
      </c>
      <c r="H37" s="46" t="n">
        <f aca="false">DEGREES(E37)</f>
        <v>0</v>
      </c>
      <c r="R37" s="44"/>
      <c r="S37" s="45"/>
      <c r="T37" s="45"/>
      <c r="U37" s="45"/>
      <c r="V37" s="45"/>
      <c r="W37" s="46"/>
    </row>
    <row r="38" customFormat="false" ht="13.2" hidden="false" customHeight="false" outlineLevel="0" collapsed="false">
      <c r="A38" s="44"/>
      <c r="B38" s="45" t="s">
        <v>118</v>
      </c>
      <c r="C38" s="45" t="n">
        <f aca="false">$R$6</f>
        <v>459</v>
      </c>
      <c r="D38" s="45" t="n">
        <f aca="false">-PI()/2</f>
        <v>-1.5707963267949</v>
      </c>
      <c r="E38" s="45" t="n">
        <f aca="false">D38+RADIANS(R4)</f>
        <v>-1.0471975511966</v>
      </c>
      <c r="F38" s="45"/>
      <c r="G38" s="45" t="n">
        <f aca="false">C38*SIN(E38)</f>
        <v>-397.505660337058</v>
      </c>
      <c r="H38" s="46" t="n">
        <f aca="false">DEGREES(E38)</f>
        <v>-60</v>
      </c>
      <c r="J38" s="33" t="s">
        <v>46</v>
      </c>
      <c r="K38" s="34" t="s">
        <v>28</v>
      </c>
      <c r="L38" s="34" t="s">
        <v>29</v>
      </c>
      <c r="M38" s="34" t="s">
        <v>30</v>
      </c>
      <c r="N38" s="35"/>
      <c r="R38" s="44"/>
      <c r="S38" s="45"/>
      <c r="T38" s="45"/>
      <c r="U38" s="45"/>
      <c r="V38" s="45"/>
      <c r="W38" s="46"/>
    </row>
    <row r="39" customFormat="false" ht="13.2" hidden="false" customHeight="false" outlineLevel="0" collapsed="false">
      <c r="A39" s="44"/>
      <c r="B39" s="45" t="s">
        <v>119</v>
      </c>
      <c r="C39" s="45" t="n">
        <f aca="false">$R$6</f>
        <v>459</v>
      </c>
      <c r="D39" s="45" t="n">
        <f aca="false">-PI()/2</f>
        <v>-1.5707963267949</v>
      </c>
      <c r="E39" s="45" t="n">
        <f aca="false">D39+RADIANS(R4)</f>
        <v>-1.0471975511966</v>
      </c>
      <c r="F39" s="45"/>
      <c r="G39" s="45" t="n">
        <f aca="false">C39*SIN(E39)</f>
        <v>-397.505660337058</v>
      </c>
      <c r="H39" s="46" t="n">
        <f aca="false">DEGREES(E39)</f>
        <v>-60</v>
      </c>
      <c r="J39" s="44" t="n">
        <v>1</v>
      </c>
      <c r="K39" s="48" t="n">
        <f aca="false">$R$7*COS(-$N$50)*COS($R$3*PI()/180)+G30</f>
        <v>73.7244048510227</v>
      </c>
      <c r="L39" s="48" t="n">
        <f aca="false">$R$7*COS(-$N$50)*SIN($R$3*PI()/180)+G36</f>
        <v>487.442742129494</v>
      </c>
      <c r="M39" s="48" t="n">
        <f aca="false">-$R$7*SIN(-$N$50)</f>
        <v>6.72943345631085</v>
      </c>
      <c r="N39" s="46"/>
      <c r="R39" s="44"/>
      <c r="S39" s="45"/>
      <c r="T39" s="45"/>
      <c r="U39" s="45"/>
      <c r="V39" s="45"/>
      <c r="W39" s="46"/>
    </row>
    <row r="40" customFormat="false" ht="13.2" hidden="false" customHeight="false" outlineLevel="0" collapsed="false">
      <c r="A40" s="44"/>
      <c r="B40" s="45" t="s">
        <v>120</v>
      </c>
      <c r="C40" s="45" t="n">
        <f aca="false">$R$6</f>
        <v>459</v>
      </c>
      <c r="D40" s="45" t="n">
        <f aca="false">PI()/6</f>
        <v>0.523598775598299</v>
      </c>
      <c r="E40" s="45" t="n">
        <f aca="false">D40-RADIANS(R4)</f>
        <v>0</v>
      </c>
      <c r="F40" s="45"/>
      <c r="G40" s="45" t="n">
        <f aca="false">C40*SIN(E40)</f>
        <v>0</v>
      </c>
      <c r="H40" s="46" t="n">
        <f aca="false">DEGREES(E40)</f>
        <v>0</v>
      </c>
      <c r="J40" s="44" t="n">
        <v>2</v>
      </c>
      <c r="K40" s="48" t="n">
        <f aca="false">$R$7*COS(-$N$51)*COS($S$3*PI()/180)+G31</f>
        <v>459</v>
      </c>
      <c r="L40" s="48" t="n">
        <f aca="false">$R$7*COS(-$N$51)*SIN($S$3*PI()/180)+G37</f>
        <v>-179.982290857539</v>
      </c>
      <c r="M40" s="48" t="n">
        <f aca="false">-$R$7*SIN(-$N$51)</f>
        <v>2.52487181306295</v>
      </c>
      <c r="N40" s="46"/>
      <c r="R40" s="44"/>
      <c r="S40" s="45"/>
      <c r="T40" s="45"/>
      <c r="U40" s="45"/>
      <c r="V40" s="45"/>
      <c r="W40" s="46"/>
    </row>
    <row r="41" customFormat="false" ht="13.2" hidden="false" customHeight="false" outlineLevel="0" collapsed="false">
      <c r="A41" s="44"/>
      <c r="B41" s="45" t="s">
        <v>121</v>
      </c>
      <c r="C41" s="45" t="n">
        <f aca="false">$R$6</f>
        <v>459</v>
      </c>
      <c r="D41" s="45" t="n">
        <f aca="false">PI()/6</f>
        <v>0.523598775598299</v>
      </c>
      <c r="E41" s="45" t="n">
        <f aca="false">D41+RADIANS(R4)</f>
        <v>1.0471975511966</v>
      </c>
      <c r="F41" s="45"/>
      <c r="G41" s="45" t="n">
        <f aca="false">C41*SIN(E41)</f>
        <v>397.505660337058</v>
      </c>
      <c r="H41" s="46" t="n">
        <f aca="false">DEGREES(E41)</f>
        <v>60</v>
      </c>
      <c r="J41" s="44" t="n">
        <v>3</v>
      </c>
      <c r="K41" s="48" t="n">
        <f aca="false">$R$7*COS(-$N$52)*COS($T$3*PI()/180)+G32</f>
        <v>385.270072963291</v>
      </c>
      <c r="L41" s="48" t="n">
        <f aca="false">$R$7*COS(-$N$52)*SIN($T$3*PI()/180)+G38</f>
        <v>-307.571766780013</v>
      </c>
      <c r="M41" s="48" t="n">
        <f aca="false">-$R$7*SIN(-$N$52)</f>
        <v>-6.89776475974557</v>
      </c>
      <c r="N41" s="46"/>
      <c r="R41" s="44"/>
      <c r="S41" s="45"/>
      <c r="T41" s="45"/>
      <c r="U41" s="45"/>
      <c r="V41" s="45"/>
      <c r="W41" s="46"/>
    </row>
    <row r="42" customFormat="false" ht="13.8" hidden="false" customHeight="false" outlineLevel="0" collapsed="false">
      <c r="A42" s="53"/>
      <c r="B42" s="54"/>
      <c r="C42" s="54"/>
      <c r="D42" s="54"/>
      <c r="E42" s="54"/>
      <c r="F42" s="54"/>
      <c r="G42" s="54"/>
      <c r="H42" s="62"/>
      <c r="J42" s="44" t="n">
        <v>4</v>
      </c>
      <c r="K42" s="48" t="n">
        <f aca="false">$R$7*COS(-$N$53)*COS($U$3*PI()/180)+G33</f>
        <v>-385.237606324691</v>
      </c>
      <c r="L42" s="48" t="n">
        <f aca="false">$R$7*COS(-$N$53)*SIN($U$3*PI()/180)+G39</f>
        <v>-307.590511402549</v>
      </c>
      <c r="M42" s="48" t="n">
        <f aca="false">-$R$7*SIN(-$N$53)</f>
        <v>-7.81434375620875</v>
      </c>
      <c r="N42" s="46"/>
      <c r="R42" s="44"/>
      <c r="S42" s="45"/>
      <c r="T42" s="45"/>
      <c r="U42" s="45"/>
      <c r="V42" s="45"/>
      <c r="W42" s="46"/>
    </row>
    <row r="43" customFormat="false" ht="13.2" hidden="false" customHeight="false" outlineLevel="0" collapsed="false">
      <c r="J43" s="44" t="n">
        <v>5</v>
      </c>
      <c r="K43" s="48" t="n">
        <f aca="false">$R$7*COS(-$N$54)*COS($V$3*PI()/180)+G34</f>
        <v>-459</v>
      </c>
      <c r="L43" s="48" t="n">
        <f aca="false">$R$7*COS(-$N$54)*SIN($V$3*PI()/180)+G40</f>
        <v>-179.981104577417</v>
      </c>
      <c r="M43" s="48" t="n">
        <f aca="false">-$R$7*SIN(-$N$54)</f>
        <v>2.60806347565945</v>
      </c>
      <c r="N43" s="46"/>
      <c r="R43" s="44"/>
      <c r="S43" s="45"/>
      <c r="T43" s="45"/>
      <c r="U43" s="45"/>
      <c r="V43" s="45"/>
      <c r="W43" s="46"/>
    </row>
    <row r="44" customFormat="false" ht="13.2" hidden="false" customHeight="false" outlineLevel="0" collapsed="false">
      <c r="J44" s="44" t="n">
        <v>6</v>
      </c>
      <c r="K44" s="48" t="n">
        <f aca="false">$R$7*COS(-$N$55)*COS($W$3*PI()/180)+G35</f>
        <v>-73.7577040792884</v>
      </c>
      <c r="L44" s="48" t="n">
        <f aca="false">$R$7*COS(-$N$55)*SIN($W$3*PI()/180)+G41</f>
        <v>487.423516811091</v>
      </c>
      <c r="M44" s="48" t="n">
        <f aca="false">-$R$7*SIN(-$N$55)</f>
        <v>7.68871565744474</v>
      </c>
      <c r="N44" s="46"/>
      <c r="R44" s="44"/>
      <c r="S44" s="45"/>
      <c r="T44" s="45"/>
      <c r="U44" s="45"/>
      <c r="V44" s="45"/>
      <c r="W44" s="46"/>
    </row>
    <row r="45" customFormat="false" ht="13.8" hidden="false" customHeight="false" outlineLevel="0" collapsed="false">
      <c r="J45" s="53"/>
      <c r="K45" s="54"/>
      <c r="L45" s="54"/>
      <c r="M45" s="54"/>
      <c r="N45" s="55"/>
      <c r="R45" s="44"/>
      <c r="S45" s="45"/>
      <c r="T45" s="45"/>
      <c r="U45" s="45"/>
      <c r="V45" s="45"/>
      <c r="W45" s="46"/>
    </row>
    <row r="46" customFormat="false" ht="13.2" hidden="false" customHeight="false" outlineLevel="0" collapsed="false">
      <c r="R46" s="44"/>
      <c r="S46" s="45"/>
      <c r="T46" s="45"/>
      <c r="U46" s="45"/>
      <c r="V46" s="45"/>
      <c r="W46" s="46"/>
    </row>
    <row r="47" customFormat="false" ht="13.2" hidden="false" customHeight="false" outlineLevel="0" collapsed="false">
      <c r="R47" s="44"/>
      <c r="S47" s="45"/>
      <c r="T47" s="45"/>
      <c r="U47" s="45"/>
      <c r="V47" s="45"/>
      <c r="W47" s="46"/>
    </row>
    <row r="48" customFormat="false" ht="13.8" hidden="false" customHeight="false" outlineLevel="0" collapsed="false">
      <c r="R48" s="44"/>
      <c r="S48" s="45"/>
      <c r="T48" s="45"/>
      <c r="U48" s="45"/>
      <c r="V48" s="45"/>
      <c r="W48" s="46"/>
    </row>
    <row r="49" customFormat="false" ht="13.2" hidden="false" customHeight="false" outlineLevel="0" collapsed="false">
      <c r="J49" s="33"/>
      <c r="K49" s="34" t="s">
        <v>122</v>
      </c>
      <c r="L49" s="34" t="s">
        <v>123</v>
      </c>
      <c r="M49" s="34" t="s">
        <v>124</v>
      </c>
      <c r="N49" s="34" t="s">
        <v>125</v>
      </c>
      <c r="O49" s="35" t="s">
        <v>126</v>
      </c>
      <c r="R49" s="44"/>
      <c r="S49" s="45"/>
      <c r="T49" s="45"/>
      <c r="U49" s="45"/>
      <c r="V49" s="45"/>
      <c r="W49" s="46"/>
    </row>
    <row r="50" customFormat="false" ht="13.2" hidden="false" customHeight="false" outlineLevel="0" collapsed="false">
      <c r="J50" s="44" t="n">
        <v>1</v>
      </c>
      <c r="K50" s="63" t="n">
        <f aca="false">K31^2-($R$8^2-$R$7^2)</f>
        <v>-38651.3501817971</v>
      </c>
      <c r="L50" s="63" t="n">
        <f aca="false">2*$R$7*(M12-M3)</f>
        <v>208141.328689169</v>
      </c>
      <c r="M50" s="63" t="n">
        <f aca="false">2*$R$7*(COS(R3*PI()/180)*(K12-K3)+SIN(R3*PI()/180)*(L12-L3))</f>
        <v>-46465.3515939869</v>
      </c>
      <c r="N50" s="63" t="n">
        <f aca="false">ASIN(K50/(SQRT(L50^2+M50^2)))-ATAN(M50/L50)</f>
        <v>0.0373944558750942</v>
      </c>
      <c r="O50" s="23" t="n">
        <f aca="false">DEGREES(N50)</f>
        <v>2.14254449883109</v>
      </c>
      <c r="R50" s="44"/>
      <c r="S50" s="45"/>
      <c r="T50" s="45"/>
      <c r="U50" s="45"/>
      <c r="V50" s="45"/>
      <c r="W50" s="46"/>
    </row>
    <row r="51" customFormat="false" ht="13.8" hidden="false" customHeight="false" outlineLevel="0" collapsed="false">
      <c r="J51" s="44" t="n">
        <v>2</v>
      </c>
      <c r="K51" s="63" t="n">
        <f aca="false">K32^2-($R$8^2-$R$7^2)</f>
        <v>-43315.9270421043</v>
      </c>
      <c r="L51" s="63" t="n">
        <f aca="false">2*$R$7*(M13-M4)</f>
        <v>206733.062730391</v>
      </c>
      <c r="M51" s="63" t="n">
        <f aca="false">2*$R$7*(COS(S3*PI()/180)*(K13-K4)+SIN(S3*PI()/180)*(L13-L4))</f>
        <v>-46220.3326275001</v>
      </c>
      <c r="N51" s="63" t="n">
        <f aca="false">ASIN(K51/(SQRT(L51^2+M51^2)))-ATAN(M51/L51)</f>
        <v>0.0140275256597565</v>
      </c>
      <c r="O51" s="23" t="n">
        <f aca="false">DEGREES(N51)</f>
        <v>0.803718017315515</v>
      </c>
      <c r="R51" s="53"/>
      <c r="S51" s="54"/>
      <c r="T51" s="54"/>
      <c r="U51" s="54"/>
      <c r="V51" s="54"/>
      <c r="W51" s="62"/>
    </row>
    <row r="52" customFormat="false" ht="13.2" hidden="false" customHeight="false" outlineLevel="0" collapsed="false">
      <c r="J52" s="44" t="n">
        <v>3</v>
      </c>
      <c r="K52" s="63" t="n">
        <f aca="false">K33^2-($R$8^2-$R$7^2)</f>
        <v>-54806.1484259779</v>
      </c>
      <c r="L52" s="63" t="n">
        <f aca="false">2*$R$7*(M14-M5)</f>
        <v>202885.60858044</v>
      </c>
      <c r="M52" s="63" t="n">
        <f aca="false">2*$R$7*(COS(T3*PI()/180)*(K14-K5)+SIN(T3*PI()/180)*(L14-L5))</f>
        <v>-47065.956897444</v>
      </c>
      <c r="N52" s="63" t="n">
        <f aca="false">ASIN(K52/(SQRT(L52^2+M52^2)))-ATAN(M52/L52)</f>
        <v>-0.0383303005316443</v>
      </c>
      <c r="O52" s="23" t="n">
        <f aca="false">DEGREES(N52)</f>
        <v>-2.19616444793128</v>
      </c>
    </row>
    <row r="53" customFormat="false" ht="13.2" hidden="false" customHeight="false" outlineLevel="0" collapsed="false">
      <c r="J53" s="44" t="n">
        <v>4</v>
      </c>
      <c r="K53" s="63" t="n">
        <f aca="false">K34^2-($R$8^2-$R$7^2)</f>
        <v>-55206.5103357728</v>
      </c>
      <c r="L53" s="63" t="n">
        <f aca="false">2*$R$7*(M15-M6)</f>
        <v>202885.60858044</v>
      </c>
      <c r="M53" s="63" t="n">
        <f aca="false">2*$R$7*(COS(U3*PI()/180)*(K15-K6)+SIN(U3*PI()/180)*(L15-L6))</f>
        <v>-46442.4186067191</v>
      </c>
      <c r="N53" s="63" t="n">
        <f aca="false">ASIN(K53/(SQRT(L53^2+M53^2)))-ATAN(M53/L53)</f>
        <v>-0.0434266691300403</v>
      </c>
      <c r="O53" s="23" t="n">
        <f aca="false">DEGREES(N53)</f>
        <v>-2.48816485946237</v>
      </c>
    </row>
    <row r="54" customFormat="false" ht="13.2" hidden="false" customHeight="false" outlineLevel="0" collapsed="false">
      <c r="J54" s="44" t="n">
        <v>5</v>
      </c>
      <c r="K54" s="63" t="n">
        <f aca="false">K35^2-($R$8^2-$R$7^2)</f>
        <v>-43220.0753895263</v>
      </c>
      <c r="L54" s="63" t="n">
        <f aca="false">2*$R$7*(M16-M7)</f>
        <v>206733.062730391</v>
      </c>
      <c r="M54" s="63" t="n">
        <f aca="false">2*$R$7*(COS(V3*PI()/180)*(K16-K7)+SIN(V3*PI()/180)*(L16-L7))</f>
        <v>-46220.3326275001</v>
      </c>
      <c r="N54" s="63" t="n">
        <f aca="false">ASIN(K54/(SQRT(L54^2+M54^2)))-ATAN(M54/L54)</f>
        <v>0.0144897485533639</v>
      </c>
      <c r="O54" s="23" t="n">
        <f aca="false">DEGREES(N54)</f>
        <v>0.830201438313542</v>
      </c>
    </row>
    <row r="55" customFormat="false" ht="13.8" hidden="false" customHeight="false" outlineLevel="0" collapsed="false">
      <c r="J55" s="53" t="n">
        <v>6</v>
      </c>
      <c r="K55" s="59" t="n">
        <f aca="false">K36^2-($R$8^2-$R$7^2)</f>
        <v>-38155.1366194239</v>
      </c>
      <c r="L55" s="59" t="n">
        <f aca="false">2*$R$7*(M17-M8)</f>
        <v>208141.328689169</v>
      </c>
      <c r="M55" s="59" t="n">
        <f aca="false">2*$R$7*(COS(W3*PI()/180)*(K17-K8)+SIN(W3*PI()/180)*(L17-L8))</f>
        <v>-47088.8898847117</v>
      </c>
      <c r="N55" s="59" t="n">
        <f aca="false">ASIN(K55/(SQRT(L55^2+M55^2)))-ATAN(M55/L55)</f>
        <v>0.0427280871685725</v>
      </c>
      <c r="O55" s="32" t="n">
        <f aca="false">DEGREES(N55)</f>
        <v>2.44813906142629</v>
      </c>
    </row>
    <row r="58" customFormat="false" ht="13.2" hidden="false" customHeight="false" outlineLevel="0" collapsed="false">
      <c r="K58" s="63"/>
      <c r="L58" s="63"/>
      <c r="M58" s="63"/>
      <c r="N58" s="63"/>
      <c r="O58" s="63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54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colBreaks count="2" manualBreakCount="2">
    <brk id="15" man="true" max="65535" min="0"/>
    <brk id="23" man="true" max="65535" min="0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953125" defaultRowHeight="13.2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LibreOffice/6.4.1.2$Windows_x86 LibreOffice_project/4d224e95b98b138af42a64d84056446d09082932</Application>
  <Company>Festo AG &amp; Co. KG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2014-04-22T06:12:13Z</dcterms:created>
  <dc:creator>Danny Waters</dc:creator>
  <dc:description/>
  <dc:language>en-US</dc:language>
  <cp:lastModifiedBy/>
  <cp:lastPrinted>2014-10-10T08:51:31Z</cp:lastPrinted>
  <dcterms:modified xsi:type="dcterms:W3CDTF">2020-11-08T20:28:26Z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Festo AG &amp; Co. KG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